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3" codeName="{2415A153-8570-D804-BEE2-DBEC5437C898}"/>
  <workbookPr codeName="ThisWorkbook" defaultThemeVersion="166925"/>
  <mc:AlternateContent xmlns:mc="http://schemas.openxmlformats.org/markup-compatibility/2006">
    <mc:Choice Requires="x15">
      <x15ac:absPath xmlns:x15ac="http://schemas.microsoft.com/office/spreadsheetml/2010/11/ac" url="/Users/cesarperez/Desktop/"/>
    </mc:Choice>
  </mc:AlternateContent>
  <xr:revisionPtr revIDLastSave="0" documentId="13_ncr:1_{4CB03068-C77C-5340-87EA-B26C3D078BA2}" xr6:coauthVersionLast="45" xr6:coauthVersionMax="45" xr10:uidLastSave="{00000000-0000-0000-0000-000000000000}"/>
  <bookViews>
    <workbookView xWindow="0" yWindow="460" windowWidth="28800" windowHeight="15960" activeTab="4" xr2:uid="{A2D32515-112C-5745-945A-7F0B62A536CB}"/>
  </bookViews>
  <sheets>
    <sheet name="Information" sheetId="6" r:id="rId1"/>
    <sheet name="Market Order Volume" sheetId="1" r:id="rId2"/>
    <sheet name="Market Driver Data" sheetId="2" r:id="rId3"/>
    <sheet name="Sensitivity Report 1" sheetId="4" state="hidden" r:id="rId4"/>
    <sheet name="Schedule" sheetId="7" r:id="rId5"/>
  </sheets>
  <definedNames>
    <definedName name="solver_adj" localSheetId="4" hidden="1">Schedule!$T$3:$T$13</definedName>
    <definedName name="solver_cvg" localSheetId="4" hidden="1">0.0001</definedName>
    <definedName name="solver_drv" localSheetId="4" hidden="1">1</definedName>
    <definedName name="solver_eng" localSheetId="4" hidden="1">1</definedName>
    <definedName name="solver_itr" localSheetId="4" hidden="1">2147483647</definedName>
    <definedName name="solver_lhs1" localSheetId="4" hidden="1">Schedule!$M$28:$M$58</definedName>
    <definedName name="solver_lhs2" localSheetId="4" hidden="1">Schedule!$I$28:$I$58</definedName>
    <definedName name="solver_lhs3" localSheetId="4" hidden="1">Schedule!$I$28:$I$58</definedName>
    <definedName name="solver_lin" localSheetId="4" hidden="1">2</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opt" localSheetId="4" hidden="1">Schedule!$B$21</definedName>
    <definedName name="solver_pre" localSheetId="4" hidden="1">0.000001</definedName>
    <definedName name="solver_rbv" localSheetId="4" hidden="1">1</definedName>
    <definedName name="solver_rel1" localSheetId="4" hidden="1">3</definedName>
    <definedName name="solver_rel2" localSheetId="4" hidden="1">3</definedName>
    <definedName name="solver_rel3" localSheetId="4" hidden="1">3</definedName>
    <definedName name="solver_rhs1" localSheetId="4" hidden="1">Schedule!$T$28:$T$58</definedName>
    <definedName name="solver_rhs2" localSheetId="4" hidden="1">Schedule!$P$28:$P$58</definedName>
    <definedName name="solver_rhs3" localSheetId="4" hidden="1">Schedule!$P$28:$P$58</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2</definedName>
    <definedName name="solver_val" localSheetId="4" hidden="1">0</definedName>
    <definedName name="solver_ver" localSheetId="4" hidden="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28" i="7" l="1"/>
  <c r="B29" i="7"/>
  <c r="B28" i="7"/>
  <c r="AA3" i="7" l="1"/>
  <c r="AA4" i="7"/>
  <c r="AA5" i="7"/>
  <c r="AA6" i="7"/>
  <c r="AA7" i="7"/>
  <c r="AA8" i="7"/>
  <c r="AA9" i="7"/>
  <c r="AA10" i="7"/>
  <c r="AA11" i="7"/>
  <c r="AA12" i="7"/>
  <c r="AA13" i="7"/>
  <c r="W3" i="7"/>
  <c r="W4" i="7"/>
  <c r="W5" i="7"/>
  <c r="W6" i="7"/>
  <c r="W7" i="7"/>
  <c r="W8" i="7"/>
  <c r="W9" i="7"/>
  <c r="W10" i="7"/>
  <c r="W11" i="7"/>
  <c r="W12" i="7"/>
  <c r="W13" i="7"/>
  <c r="S3" i="7"/>
  <c r="S4" i="7"/>
  <c r="S5" i="7"/>
  <c r="S6" i="7"/>
  <c r="S7" i="7"/>
  <c r="S8" i="7"/>
  <c r="S9" i="7"/>
  <c r="S10" i="7"/>
  <c r="S11" i="7"/>
  <c r="S12" i="7"/>
  <c r="S13" i="7"/>
  <c r="O3" i="7"/>
  <c r="O4" i="7"/>
  <c r="O5" i="7"/>
  <c r="O6" i="7"/>
  <c r="O7" i="7"/>
  <c r="O8" i="7"/>
  <c r="O9" i="7"/>
  <c r="O10" i="7"/>
  <c r="O11" i="7"/>
  <c r="O12" i="7"/>
  <c r="O13" i="7"/>
  <c r="K3" i="7"/>
  <c r="K4" i="7"/>
  <c r="K5" i="7"/>
  <c r="K6" i="7"/>
  <c r="K7" i="7"/>
  <c r="K8" i="7"/>
  <c r="K9" i="7"/>
  <c r="K10" i="7"/>
  <c r="K11" i="7"/>
  <c r="K12" i="7"/>
  <c r="K13" i="7"/>
  <c r="G3" i="7"/>
  <c r="G4" i="7"/>
  <c r="G5" i="7"/>
  <c r="G6" i="7"/>
  <c r="G7" i="7"/>
  <c r="G8" i="7"/>
  <c r="G9" i="7"/>
  <c r="G10" i="7"/>
  <c r="G11" i="7"/>
  <c r="G12" i="7"/>
  <c r="G13" i="7"/>
  <c r="C4" i="7"/>
  <c r="C5" i="7"/>
  <c r="C6" i="7"/>
  <c r="C7" i="7"/>
  <c r="C8" i="7"/>
  <c r="C9" i="7"/>
  <c r="C10" i="7"/>
  <c r="C11" i="7"/>
  <c r="C12" i="7"/>
  <c r="C13" i="7"/>
  <c r="C3" i="7"/>
  <c r="C29" i="7" l="1"/>
  <c r="J29" i="7" s="1"/>
  <c r="D29" i="7"/>
  <c r="K29" i="7" s="1"/>
  <c r="E29" i="7"/>
  <c r="L29" i="7" s="1"/>
  <c r="F29" i="7"/>
  <c r="M29" i="7" s="1"/>
  <c r="G29" i="7"/>
  <c r="N29" i="7" s="1"/>
  <c r="H29" i="7"/>
  <c r="O29" i="7" s="1"/>
  <c r="C30" i="7"/>
  <c r="J30" i="7" s="1"/>
  <c r="D30" i="7"/>
  <c r="K30" i="7" s="1"/>
  <c r="E30" i="7"/>
  <c r="L30" i="7" s="1"/>
  <c r="F30" i="7"/>
  <c r="M30" i="7" s="1"/>
  <c r="G30" i="7"/>
  <c r="N30" i="7" s="1"/>
  <c r="H30" i="7"/>
  <c r="O30" i="7" s="1"/>
  <c r="C31" i="7"/>
  <c r="J31" i="7" s="1"/>
  <c r="D31" i="7"/>
  <c r="K31" i="7" s="1"/>
  <c r="E31" i="7"/>
  <c r="L31" i="7" s="1"/>
  <c r="F31" i="7"/>
  <c r="M31" i="7" s="1"/>
  <c r="G31" i="7"/>
  <c r="N31" i="7" s="1"/>
  <c r="H31" i="7"/>
  <c r="O31" i="7" s="1"/>
  <c r="C32" i="7"/>
  <c r="J32" i="7" s="1"/>
  <c r="D32" i="7"/>
  <c r="K32" i="7" s="1"/>
  <c r="E32" i="7"/>
  <c r="L32" i="7" s="1"/>
  <c r="F32" i="7"/>
  <c r="M32" i="7" s="1"/>
  <c r="G32" i="7"/>
  <c r="N32" i="7" s="1"/>
  <c r="H32" i="7"/>
  <c r="O32" i="7" s="1"/>
  <c r="C33" i="7"/>
  <c r="J33" i="7" s="1"/>
  <c r="D33" i="7"/>
  <c r="K33" i="7" s="1"/>
  <c r="E33" i="7"/>
  <c r="L33" i="7" s="1"/>
  <c r="F33" i="7"/>
  <c r="M33" i="7" s="1"/>
  <c r="G33" i="7"/>
  <c r="N33" i="7" s="1"/>
  <c r="H33" i="7"/>
  <c r="O33" i="7" s="1"/>
  <c r="C34" i="7"/>
  <c r="J34" i="7" s="1"/>
  <c r="D34" i="7"/>
  <c r="K34" i="7" s="1"/>
  <c r="E34" i="7"/>
  <c r="L34" i="7" s="1"/>
  <c r="F34" i="7"/>
  <c r="M34" i="7" s="1"/>
  <c r="G34" i="7"/>
  <c r="N34" i="7" s="1"/>
  <c r="H34" i="7"/>
  <c r="O34" i="7" s="1"/>
  <c r="C35" i="7"/>
  <c r="J35" i="7" s="1"/>
  <c r="D35" i="7"/>
  <c r="K35" i="7" s="1"/>
  <c r="E35" i="7"/>
  <c r="L35" i="7" s="1"/>
  <c r="F35" i="7"/>
  <c r="M35" i="7" s="1"/>
  <c r="G35" i="7"/>
  <c r="N35" i="7" s="1"/>
  <c r="H35" i="7"/>
  <c r="O35" i="7" s="1"/>
  <c r="C36" i="7"/>
  <c r="J36" i="7" s="1"/>
  <c r="D36" i="7"/>
  <c r="K36" i="7" s="1"/>
  <c r="E36" i="7"/>
  <c r="L36" i="7" s="1"/>
  <c r="F36" i="7"/>
  <c r="M36" i="7" s="1"/>
  <c r="G36" i="7"/>
  <c r="N36" i="7" s="1"/>
  <c r="H36" i="7"/>
  <c r="O36" i="7" s="1"/>
  <c r="C37" i="7"/>
  <c r="J37" i="7" s="1"/>
  <c r="D37" i="7"/>
  <c r="K37" i="7" s="1"/>
  <c r="E37" i="7"/>
  <c r="L37" i="7" s="1"/>
  <c r="F37" i="7"/>
  <c r="M37" i="7" s="1"/>
  <c r="G37" i="7"/>
  <c r="N37" i="7" s="1"/>
  <c r="H37" i="7"/>
  <c r="O37" i="7" s="1"/>
  <c r="C38" i="7"/>
  <c r="J38" i="7" s="1"/>
  <c r="D38" i="7"/>
  <c r="K38" i="7" s="1"/>
  <c r="E38" i="7"/>
  <c r="L38" i="7" s="1"/>
  <c r="F38" i="7"/>
  <c r="M38" i="7" s="1"/>
  <c r="G38" i="7"/>
  <c r="N38" i="7" s="1"/>
  <c r="H38" i="7"/>
  <c r="O38" i="7" s="1"/>
  <c r="C39" i="7"/>
  <c r="J39" i="7" s="1"/>
  <c r="D39" i="7"/>
  <c r="K39" i="7" s="1"/>
  <c r="E39" i="7"/>
  <c r="L39" i="7" s="1"/>
  <c r="F39" i="7"/>
  <c r="M39" i="7" s="1"/>
  <c r="G39" i="7"/>
  <c r="N39" i="7" s="1"/>
  <c r="H39" i="7"/>
  <c r="O39" i="7" s="1"/>
  <c r="C40" i="7"/>
  <c r="J40" i="7" s="1"/>
  <c r="D40" i="7"/>
  <c r="K40" i="7" s="1"/>
  <c r="E40" i="7"/>
  <c r="L40" i="7" s="1"/>
  <c r="F40" i="7"/>
  <c r="M40" i="7" s="1"/>
  <c r="G40" i="7"/>
  <c r="N40" i="7" s="1"/>
  <c r="H40" i="7"/>
  <c r="O40" i="7" s="1"/>
  <c r="C41" i="7"/>
  <c r="J41" i="7" s="1"/>
  <c r="D41" i="7"/>
  <c r="K41" i="7" s="1"/>
  <c r="E41" i="7"/>
  <c r="L41" i="7" s="1"/>
  <c r="F41" i="7"/>
  <c r="M41" i="7" s="1"/>
  <c r="G41" i="7"/>
  <c r="N41" i="7" s="1"/>
  <c r="H41" i="7"/>
  <c r="O41" i="7" s="1"/>
  <c r="C42" i="7"/>
  <c r="J42" i="7" s="1"/>
  <c r="D42" i="7"/>
  <c r="K42" i="7" s="1"/>
  <c r="E42" i="7"/>
  <c r="L42" i="7" s="1"/>
  <c r="F42" i="7"/>
  <c r="M42" i="7" s="1"/>
  <c r="G42" i="7"/>
  <c r="N42" i="7" s="1"/>
  <c r="H42" i="7"/>
  <c r="O42" i="7" s="1"/>
  <c r="C43" i="7"/>
  <c r="J43" i="7" s="1"/>
  <c r="D43" i="7"/>
  <c r="K43" i="7" s="1"/>
  <c r="E43" i="7"/>
  <c r="L43" i="7" s="1"/>
  <c r="F43" i="7"/>
  <c r="M43" i="7" s="1"/>
  <c r="G43" i="7"/>
  <c r="N43" i="7" s="1"/>
  <c r="H43" i="7"/>
  <c r="O43" i="7" s="1"/>
  <c r="C44" i="7"/>
  <c r="J44" i="7" s="1"/>
  <c r="D44" i="7"/>
  <c r="K44" i="7" s="1"/>
  <c r="E44" i="7"/>
  <c r="L44" i="7" s="1"/>
  <c r="F44" i="7"/>
  <c r="M44" i="7" s="1"/>
  <c r="G44" i="7"/>
  <c r="N44" i="7" s="1"/>
  <c r="H44" i="7"/>
  <c r="O44" i="7" s="1"/>
  <c r="C45" i="7"/>
  <c r="J45" i="7" s="1"/>
  <c r="D45" i="7"/>
  <c r="K45" i="7" s="1"/>
  <c r="E45" i="7"/>
  <c r="L45" i="7" s="1"/>
  <c r="F45" i="7"/>
  <c r="M45" i="7" s="1"/>
  <c r="G45" i="7"/>
  <c r="N45" i="7" s="1"/>
  <c r="H45" i="7"/>
  <c r="O45" i="7" s="1"/>
  <c r="C46" i="7"/>
  <c r="J46" i="7" s="1"/>
  <c r="D46" i="7"/>
  <c r="K46" i="7" s="1"/>
  <c r="E46" i="7"/>
  <c r="L46" i="7" s="1"/>
  <c r="F46" i="7"/>
  <c r="M46" i="7" s="1"/>
  <c r="G46" i="7"/>
  <c r="N46" i="7" s="1"/>
  <c r="H46" i="7"/>
  <c r="O46" i="7" s="1"/>
  <c r="C47" i="7"/>
  <c r="J47" i="7" s="1"/>
  <c r="D47" i="7"/>
  <c r="K47" i="7" s="1"/>
  <c r="E47" i="7"/>
  <c r="L47" i="7" s="1"/>
  <c r="F47" i="7"/>
  <c r="M47" i="7" s="1"/>
  <c r="G47" i="7"/>
  <c r="N47" i="7" s="1"/>
  <c r="H47" i="7"/>
  <c r="O47" i="7" s="1"/>
  <c r="C48" i="7"/>
  <c r="J48" i="7" s="1"/>
  <c r="D48" i="7"/>
  <c r="K48" i="7" s="1"/>
  <c r="E48" i="7"/>
  <c r="L48" i="7" s="1"/>
  <c r="F48" i="7"/>
  <c r="M48" i="7" s="1"/>
  <c r="G48" i="7"/>
  <c r="N48" i="7" s="1"/>
  <c r="H48" i="7"/>
  <c r="O48" i="7" s="1"/>
  <c r="C49" i="7"/>
  <c r="J49" i="7" s="1"/>
  <c r="D49" i="7"/>
  <c r="K49" i="7" s="1"/>
  <c r="E49" i="7"/>
  <c r="L49" i="7" s="1"/>
  <c r="F49" i="7"/>
  <c r="M49" i="7" s="1"/>
  <c r="G49" i="7"/>
  <c r="N49" i="7" s="1"/>
  <c r="H49" i="7"/>
  <c r="O49" i="7" s="1"/>
  <c r="C50" i="7"/>
  <c r="J50" i="7" s="1"/>
  <c r="D50" i="7"/>
  <c r="K50" i="7" s="1"/>
  <c r="E50" i="7"/>
  <c r="L50" i="7" s="1"/>
  <c r="F50" i="7"/>
  <c r="M50" i="7" s="1"/>
  <c r="G50" i="7"/>
  <c r="N50" i="7" s="1"/>
  <c r="H50" i="7"/>
  <c r="O50" i="7" s="1"/>
  <c r="C51" i="7"/>
  <c r="J51" i="7" s="1"/>
  <c r="D51" i="7"/>
  <c r="K51" i="7" s="1"/>
  <c r="E51" i="7"/>
  <c r="L51" i="7" s="1"/>
  <c r="F51" i="7"/>
  <c r="M51" i="7" s="1"/>
  <c r="G51" i="7"/>
  <c r="N51" i="7" s="1"/>
  <c r="H51" i="7"/>
  <c r="O51" i="7" s="1"/>
  <c r="C52" i="7"/>
  <c r="J52" i="7" s="1"/>
  <c r="D52" i="7"/>
  <c r="K52" i="7" s="1"/>
  <c r="E52" i="7"/>
  <c r="L52" i="7" s="1"/>
  <c r="F52" i="7"/>
  <c r="M52" i="7" s="1"/>
  <c r="G52" i="7"/>
  <c r="N52" i="7" s="1"/>
  <c r="H52" i="7"/>
  <c r="O52" i="7" s="1"/>
  <c r="C53" i="7"/>
  <c r="J53" i="7" s="1"/>
  <c r="D53" i="7"/>
  <c r="K53" i="7" s="1"/>
  <c r="E53" i="7"/>
  <c r="L53" i="7" s="1"/>
  <c r="F53" i="7"/>
  <c r="M53" i="7" s="1"/>
  <c r="G53" i="7"/>
  <c r="N53" i="7" s="1"/>
  <c r="H53" i="7"/>
  <c r="O53" i="7" s="1"/>
  <c r="C54" i="7"/>
  <c r="J54" i="7" s="1"/>
  <c r="D54" i="7"/>
  <c r="K54" i="7" s="1"/>
  <c r="E54" i="7"/>
  <c r="L54" i="7" s="1"/>
  <c r="F54" i="7"/>
  <c r="M54" i="7" s="1"/>
  <c r="G54" i="7"/>
  <c r="N54" i="7" s="1"/>
  <c r="H54" i="7"/>
  <c r="O54" i="7" s="1"/>
  <c r="C55" i="7"/>
  <c r="J55" i="7" s="1"/>
  <c r="D55" i="7"/>
  <c r="K55" i="7" s="1"/>
  <c r="E55" i="7"/>
  <c r="L55" i="7" s="1"/>
  <c r="F55" i="7"/>
  <c r="M55" i="7" s="1"/>
  <c r="G55" i="7"/>
  <c r="N55" i="7" s="1"/>
  <c r="H55" i="7"/>
  <c r="O55" i="7" s="1"/>
  <c r="C56" i="7"/>
  <c r="J56" i="7" s="1"/>
  <c r="D56" i="7"/>
  <c r="K56" i="7" s="1"/>
  <c r="E56" i="7"/>
  <c r="L56" i="7" s="1"/>
  <c r="F56" i="7"/>
  <c r="M56" i="7" s="1"/>
  <c r="G56" i="7"/>
  <c r="N56" i="7" s="1"/>
  <c r="H56" i="7"/>
  <c r="O56" i="7" s="1"/>
  <c r="C57" i="7"/>
  <c r="J57" i="7" s="1"/>
  <c r="D57" i="7"/>
  <c r="K57" i="7" s="1"/>
  <c r="E57" i="7"/>
  <c r="L57" i="7" s="1"/>
  <c r="F57" i="7"/>
  <c r="M57" i="7" s="1"/>
  <c r="G57" i="7"/>
  <c r="N57" i="7" s="1"/>
  <c r="H57" i="7"/>
  <c r="O57" i="7" s="1"/>
  <c r="C58" i="7"/>
  <c r="J58" i="7" s="1"/>
  <c r="D58" i="7"/>
  <c r="K58" i="7" s="1"/>
  <c r="E58" i="7"/>
  <c r="L58" i="7" s="1"/>
  <c r="F58" i="7"/>
  <c r="M58" i="7" s="1"/>
  <c r="G58" i="7"/>
  <c r="N58" i="7" s="1"/>
  <c r="H58" i="7"/>
  <c r="O58" i="7" s="1"/>
  <c r="C59" i="7"/>
  <c r="J59" i="7" s="1"/>
  <c r="D59" i="7"/>
  <c r="K59" i="7" s="1"/>
  <c r="E59" i="7"/>
  <c r="L59" i="7" s="1"/>
  <c r="F59" i="7"/>
  <c r="M59" i="7" s="1"/>
  <c r="G59" i="7"/>
  <c r="N59" i="7" s="1"/>
  <c r="H59" i="7"/>
  <c r="O59" i="7" s="1"/>
  <c r="H28" i="7"/>
  <c r="G28" i="7"/>
  <c r="F28" i="7"/>
  <c r="E28" i="7"/>
  <c r="L28" i="7" s="1"/>
  <c r="D28" i="7"/>
  <c r="C28" i="7"/>
  <c r="I29" i="7"/>
  <c r="B30" i="7"/>
  <c r="I30" i="7" s="1"/>
  <c r="B31" i="7"/>
  <c r="I31" i="7" s="1"/>
  <c r="B32" i="7"/>
  <c r="I32" i="7" s="1"/>
  <c r="B33" i="7"/>
  <c r="I33" i="7" s="1"/>
  <c r="B34" i="7"/>
  <c r="I34" i="7" s="1"/>
  <c r="B35" i="7"/>
  <c r="I35" i="7" s="1"/>
  <c r="B36" i="7"/>
  <c r="I36" i="7" s="1"/>
  <c r="B37" i="7"/>
  <c r="I37" i="7" s="1"/>
  <c r="B38" i="7"/>
  <c r="I38" i="7" s="1"/>
  <c r="B39" i="7"/>
  <c r="I39" i="7" s="1"/>
  <c r="B40" i="7"/>
  <c r="I40" i="7" s="1"/>
  <c r="B41" i="7"/>
  <c r="I41" i="7" s="1"/>
  <c r="B42" i="7"/>
  <c r="I42" i="7" s="1"/>
  <c r="B43" i="7"/>
  <c r="I43" i="7" s="1"/>
  <c r="B44" i="7"/>
  <c r="I44" i="7" s="1"/>
  <c r="B45" i="7"/>
  <c r="I45" i="7" s="1"/>
  <c r="B46" i="7"/>
  <c r="I46" i="7" s="1"/>
  <c r="B47" i="7"/>
  <c r="I47" i="7" s="1"/>
  <c r="B48" i="7"/>
  <c r="I48" i="7" s="1"/>
  <c r="B49" i="7"/>
  <c r="I49" i="7" s="1"/>
  <c r="B50" i="7"/>
  <c r="I50" i="7" s="1"/>
  <c r="B51" i="7"/>
  <c r="I51" i="7" s="1"/>
  <c r="B52" i="7"/>
  <c r="I52" i="7" s="1"/>
  <c r="B53" i="7"/>
  <c r="I53" i="7" s="1"/>
  <c r="B54" i="7"/>
  <c r="I54" i="7" s="1"/>
  <c r="B55" i="7"/>
  <c r="I55" i="7" s="1"/>
  <c r="B56" i="7"/>
  <c r="I56" i="7" s="1"/>
  <c r="B57" i="7"/>
  <c r="I57" i="7" s="1"/>
  <c r="B58" i="7"/>
  <c r="I58" i="7" s="1"/>
  <c r="B59" i="7"/>
  <c r="I59" i="7" s="1"/>
  <c r="B23" i="7" l="1"/>
  <c r="O28" i="7"/>
  <c r="B22" i="7"/>
  <c r="N28" i="7"/>
  <c r="B21" i="7"/>
  <c r="M28" i="7"/>
  <c r="B20" i="7"/>
  <c r="B19" i="7"/>
  <c r="K28" i="7"/>
  <c r="B18" i="7"/>
  <c r="J28" i="7"/>
  <c r="B17" i="7"/>
  <c r="B24" i="7" l="1"/>
</calcChain>
</file>

<file path=xl/sharedStrings.xml><?xml version="1.0" encoding="utf-8"?>
<sst xmlns="http://schemas.openxmlformats.org/spreadsheetml/2006/main" count="165" uniqueCount="103">
  <si>
    <t>time</t>
  </si>
  <si>
    <t>2019-05-20</t>
  </si>
  <si>
    <t>2019-05-21</t>
  </si>
  <si>
    <t>2019-05-22</t>
  </si>
  <si>
    <t>2019-05-23</t>
  </si>
  <si>
    <t>2019-05-24</t>
  </si>
  <si>
    <t>2019-05-25</t>
  </si>
  <si>
    <t>2019-05-26</t>
  </si>
  <si>
    <t>08:00:00</t>
  </si>
  <si>
    <t>08:30:00</t>
  </si>
  <si>
    <t>09:00:00</t>
  </si>
  <si>
    <t>09:30:00</t>
  </si>
  <si>
    <t>10:00:00</t>
  </si>
  <si>
    <t>10:30:00</t>
  </si>
  <si>
    <t>11:00:00</t>
  </si>
  <si>
    <t>11:30:00</t>
  </si>
  <si>
    <t>12:00:00</t>
  </si>
  <si>
    <t>12:30:00</t>
  </si>
  <si>
    <t>13:00:00</t>
  </si>
  <si>
    <t>13:30:00</t>
  </si>
  <si>
    <t>14:00:00</t>
  </si>
  <si>
    <t>14:30:00</t>
  </si>
  <si>
    <t>15:00:00</t>
  </si>
  <si>
    <t>15:30:00</t>
  </si>
  <si>
    <t>16:00:00</t>
  </si>
  <si>
    <t>16:30:00</t>
  </si>
  <si>
    <t>17:00:00</t>
  </si>
  <si>
    <t>17:30:00</t>
  </si>
  <si>
    <t>18:00:00</t>
  </si>
  <si>
    <t>18:30:00</t>
  </si>
  <si>
    <t>19:00:00</t>
  </si>
  <si>
    <t>19:30:00</t>
  </si>
  <si>
    <t>20:00:00</t>
  </si>
  <si>
    <t>20:30:00</t>
  </si>
  <si>
    <t>21:00:00</t>
  </si>
  <si>
    <t>21:30:00</t>
  </si>
  <si>
    <t>22:00:00</t>
  </si>
  <si>
    <t>22:30:00</t>
  </si>
  <si>
    <t>23:00:00</t>
  </si>
  <si>
    <t>23:30:00</t>
  </si>
  <si>
    <t>half_hour</t>
  </si>
  <si>
    <t>Mon</t>
  </si>
  <si>
    <t>Tue</t>
  </si>
  <si>
    <t>Wed</t>
  </si>
  <si>
    <t>Thu</t>
  </si>
  <si>
    <t>Fri</t>
  </si>
  <si>
    <t>Sat</t>
  </si>
  <si>
    <t>Sun</t>
  </si>
  <si>
    <t>Monday</t>
  </si>
  <si>
    <t>start</t>
  </si>
  <si>
    <t>end</t>
  </si>
  <si>
    <t>length</t>
  </si>
  <si>
    <t>drivers</t>
  </si>
  <si>
    <t>Microsoft Excel 16.25 Sensitivity Report</t>
  </si>
  <si>
    <t>Worksheet: [Ops Analyst Case StudyRaw Data.xlsx]Minimum Work Hours</t>
  </si>
  <si>
    <t>Report Created: 5/24/19 3:58:50 PM</t>
  </si>
  <si>
    <t>Variable Cells</t>
  </si>
  <si>
    <t>Cell</t>
  </si>
  <si>
    <t>Name</t>
  </si>
  <si>
    <t>Final</t>
  </si>
  <si>
    <t>Value</t>
  </si>
  <si>
    <t>Reduced</t>
  </si>
  <si>
    <t>Gradient</t>
  </si>
  <si>
    <t>Constraints</t>
  </si>
  <si>
    <t>NONE</t>
  </si>
  <si>
    <t>$R$2</t>
  </si>
  <si>
    <t>$R$3</t>
  </si>
  <si>
    <t>Sunday</t>
  </si>
  <si>
    <t>Saturday</t>
  </si>
  <si>
    <t>Friday</t>
  </si>
  <si>
    <t>Thursday</t>
  </si>
  <si>
    <t>Wednesday</t>
  </si>
  <si>
    <t>Tuesday</t>
  </si>
  <si>
    <t>Cost</t>
  </si>
  <si>
    <t>Weekly</t>
  </si>
  <si>
    <t>start2</t>
  </si>
  <si>
    <t>drivers4</t>
  </si>
  <si>
    <t>start5</t>
  </si>
  <si>
    <t>end6</t>
  </si>
  <si>
    <t>drivers7</t>
  </si>
  <si>
    <t>end2</t>
  </si>
  <si>
    <t>staffing</t>
  </si>
  <si>
    <t>capacity</t>
  </si>
  <si>
    <t>demand</t>
  </si>
  <si>
    <t>end3</t>
  </si>
  <si>
    <t>length2</t>
  </si>
  <si>
    <t>end7</t>
  </si>
  <si>
    <t>length3</t>
  </si>
  <si>
    <t>drivers2</t>
  </si>
  <si>
    <t>drivers3</t>
  </si>
  <si>
    <t>length4</t>
  </si>
  <si>
    <t>length5</t>
  </si>
  <si>
    <t>length6</t>
  </si>
  <si>
    <t>length7</t>
  </si>
  <si>
    <t>drivers5</t>
  </si>
  <si>
    <t>start6</t>
  </si>
  <si>
    <t>start3</t>
  </si>
  <si>
    <t>end4</t>
  </si>
  <si>
    <t>drivers6</t>
  </si>
  <si>
    <t>start4</t>
  </si>
  <si>
    <t>end5</t>
  </si>
  <si>
    <t>start7</t>
  </si>
  <si>
    <r>
      <rPr>
        <b/>
        <sz val="14"/>
        <color theme="1"/>
        <rFont val="Calibri"/>
        <family val="2"/>
        <scheme val="minor"/>
      </rPr>
      <t xml:space="preserve">Description
</t>
    </r>
    <r>
      <rPr>
        <sz val="14"/>
        <color theme="1"/>
        <rFont val="Calibri"/>
        <family val="2"/>
        <scheme val="minor"/>
      </rPr>
      <t xml:space="preserve">This tool takes order volume and driver performance data to determine the minimum amount drivers needed during half-hour intervals. Then, using this data, and input in the form of shift start and end times, the tool will solve for the number of drivers to assign to each shift while solving for the lowest daily cost.
</t>
    </r>
    <r>
      <rPr>
        <b/>
        <sz val="14"/>
        <color theme="1"/>
        <rFont val="Calibri"/>
        <family val="2"/>
        <scheme val="minor"/>
      </rPr>
      <t xml:space="preserve">Constraints
</t>
    </r>
    <r>
      <rPr>
        <sz val="14"/>
        <color theme="1"/>
        <rFont val="Calibri"/>
        <family val="2"/>
        <scheme val="minor"/>
      </rPr>
      <t xml:space="preserve">1. The delivery capacity for half-hour intervals has to meet the expected demand (Market Order Volume)
</t>
    </r>
    <r>
      <rPr>
        <b/>
        <sz val="14"/>
        <color theme="1"/>
        <rFont val="Calibri"/>
        <family val="2"/>
        <scheme val="minor"/>
      </rPr>
      <t xml:space="preserve">
Instructions
</t>
    </r>
    <r>
      <rPr>
        <sz val="14"/>
        <color theme="1"/>
        <rFont val="Calibri"/>
        <family val="2"/>
        <scheme val="minor"/>
      </rPr>
      <t xml:space="preserve">
1. Add updated order volume data to "Market Order Volume Data" (if available.)
2. Add. updated driver performance data to "Market Driver Data" (if available.)
3. Switch to the "Schedule" tab, and select start times and end times for daily shifts.
4. For each day, click the "Schedule" button to optimize the daily shifts.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</si>
</sst>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F400]h:mm:ss\ AM/PM"/>
  </numFmts>
  <fonts count="14">
    <font>
      <sz val="12"/>
      <color theme="1"/>
      <name val="Calibri"/>
      <family val="2"/>
      <scheme val="minor"/>
    </font>
    <font>
      <b/>
      <sz val="11"/>
      <color rgb="FF000000"/>
      <name val="Calibri"/>
      <family val="2"/>
    </font>
    <font>
      <b/>
      <sz val="11"/>
      <color theme="1"/>
      <name val="Calibri"/>
      <family val="2"/>
      <scheme val="minor"/>
    </font>
    <font>
      <b/>
      <sz val="12"/>
      <color theme="1"/>
      <name val="Calibri"/>
      <family val="2"/>
      <scheme val="minor"/>
    </font>
    <font>
      <sz val="8"/>
      <name val="Calibri"/>
      <family val="2"/>
      <scheme val="minor"/>
    </font>
    <font>
      <b/>
      <sz val="12"/>
      <color indexed="18"/>
      <name val="Calibri"/>
      <family val="2"/>
      <scheme val="minor"/>
    </font>
    <font>
      <sz val="12"/>
      <color theme="1"/>
      <name val="Calibri"/>
      <family val="2"/>
      <scheme val="minor"/>
    </font>
    <font>
      <sz val="14"/>
      <color theme="1"/>
      <name val="Calibri"/>
      <family val="2"/>
      <scheme val="minor"/>
    </font>
    <font>
      <b/>
      <sz val="14"/>
      <color theme="1"/>
      <name val="Calibri"/>
      <family val="2"/>
      <scheme val="minor"/>
    </font>
    <font>
      <b/>
      <sz val="13"/>
      <color theme="0"/>
      <name val="Calibri"/>
      <family val="2"/>
      <scheme val="minor"/>
    </font>
    <font>
      <sz val="13"/>
      <color theme="1"/>
      <name val="Calibri"/>
      <family val="2"/>
      <scheme val="minor"/>
    </font>
    <font>
      <b/>
      <sz val="13"/>
      <color theme="1"/>
      <name val="Calibri"/>
      <family val="2"/>
      <scheme val="minor"/>
    </font>
    <font>
      <b/>
      <sz val="13"/>
      <color rgb="FFFFFFFF"/>
      <name val="Calibri"/>
      <family val="2"/>
      <scheme val="minor"/>
    </font>
    <font>
      <sz val="12"/>
      <color rgb="FF000000"/>
      <name val="Calibri"/>
      <family val="2"/>
    </font>
  </fonts>
  <fills count="6">
    <fill>
      <patternFill patternType="none"/>
    </fill>
    <fill>
      <patternFill patternType="gray125"/>
    </fill>
    <fill>
      <patternFill patternType="solid">
        <fgColor theme="9" tint="-0.499984740745262"/>
        <bgColor indexed="64"/>
      </patternFill>
    </fill>
    <fill>
      <patternFill patternType="solid">
        <fgColor theme="1"/>
        <bgColor indexed="64"/>
      </patternFill>
    </fill>
    <fill>
      <patternFill patternType="solid">
        <fgColor theme="2" tint="-0.499984740745262"/>
        <bgColor indexed="64"/>
      </patternFill>
    </fill>
    <fill>
      <patternFill patternType="solid">
        <fgColor rgb="FF70AD47"/>
        <bgColor rgb="FF70AD47"/>
      </patternFill>
    </fill>
  </fills>
  <borders count="31">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indexed="23"/>
      </top>
      <bottom/>
      <diagonal/>
    </border>
    <border>
      <left/>
      <right/>
      <top/>
      <bottom style="medium">
        <color indexed="23"/>
      </bottom>
      <diagonal/>
    </border>
    <border>
      <left/>
      <right/>
      <top style="thin">
        <color indexed="23"/>
      </top>
      <bottom/>
      <diagonal/>
    </border>
    <border>
      <left/>
      <right/>
      <top style="thin">
        <color indexed="23"/>
      </top>
      <bottom style="medium">
        <color indexed="23"/>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auto="1"/>
      </right>
      <top style="thin">
        <color auto="1"/>
      </top>
      <bottom style="thin">
        <color auto="1"/>
      </bottom>
      <diagonal/>
    </border>
    <border>
      <left/>
      <right/>
      <top/>
      <bottom style="medium">
        <color indexed="64"/>
      </bottom>
      <diagonal/>
    </border>
    <border>
      <left/>
      <right style="thin">
        <color auto="1"/>
      </right>
      <top style="thin">
        <color auto="1"/>
      </top>
      <bottom style="thin">
        <color auto="1"/>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ck">
        <color indexed="64"/>
      </right>
      <top style="medium">
        <color indexed="64"/>
      </top>
      <bottom/>
      <diagonal/>
    </border>
    <border>
      <left style="thin">
        <color indexed="64"/>
      </left>
      <right style="thin">
        <color indexed="64"/>
      </right>
      <top style="thin">
        <color indexed="64"/>
      </top>
      <bottom/>
      <diagonal/>
    </border>
    <border>
      <left style="thin">
        <color indexed="64"/>
      </left>
      <right/>
      <top style="thin">
        <color auto="1"/>
      </top>
      <bottom style="thin">
        <color indexed="64"/>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44" fontId="6" fillId="0" borderId="0" applyFont="0" applyFill="0" applyBorder="0" applyAlignment="0" applyProtection="0"/>
  </cellStyleXfs>
  <cellXfs count="49">
    <xf numFmtId="0" fontId="0" fillId="0" borderId="0" xfId="0"/>
    <xf numFmtId="0" fontId="1" fillId="0" borderId="1" xfId="0" applyFont="1" applyBorder="1" applyAlignment="1">
      <alignment horizontal="center" vertical="top"/>
    </xf>
    <xf numFmtId="0" fontId="2" fillId="0" borderId="2" xfId="0" applyFont="1" applyBorder="1" applyAlignment="1">
      <alignment horizontal="center" vertical="top"/>
    </xf>
    <xf numFmtId="0" fontId="3" fillId="0" borderId="0" xfId="0" applyFont="1"/>
    <xf numFmtId="0" fontId="0" fillId="0" borderId="5" xfId="0" applyFill="1" applyBorder="1" applyAlignment="1"/>
    <xf numFmtId="0" fontId="0" fillId="0" borderId="6" xfId="0" applyFill="1" applyBorder="1" applyAlignment="1"/>
    <xf numFmtId="0" fontId="5" fillId="0" borderId="3" xfId="0" applyFont="1" applyFill="1" applyBorder="1" applyAlignment="1">
      <alignment horizontal="center"/>
    </xf>
    <xf numFmtId="0" fontId="5" fillId="0" borderId="4" xfId="0" applyFont="1" applyFill="1" applyBorder="1" applyAlignment="1">
      <alignment horizontal="center"/>
    </xf>
    <xf numFmtId="0" fontId="10" fillId="0" borderId="0" xfId="0" applyFont="1"/>
    <xf numFmtId="0" fontId="11" fillId="0" borderId="14" xfId="0" applyFont="1" applyFill="1" applyBorder="1" applyAlignment="1">
      <alignment horizontal="center" vertical="top"/>
    </xf>
    <xf numFmtId="0" fontId="11" fillId="0" borderId="16" xfId="0" applyFont="1" applyFill="1" applyBorder="1" applyAlignment="1">
      <alignment horizontal="center" vertical="top"/>
    </xf>
    <xf numFmtId="164" fontId="11" fillId="0" borderId="17" xfId="0" applyNumberFormat="1" applyFont="1" applyBorder="1" applyAlignment="1">
      <alignment horizontal="center" vertical="top"/>
    </xf>
    <xf numFmtId="164" fontId="11" fillId="0" borderId="2" xfId="0" applyNumberFormat="1" applyFont="1" applyBorder="1" applyAlignment="1">
      <alignment horizontal="center" vertical="top"/>
    </xf>
    <xf numFmtId="164" fontId="11" fillId="0" borderId="9" xfId="0" applyNumberFormat="1" applyFont="1" applyBorder="1" applyAlignment="1">
      <alignment horizontal="center" vertical="top"/>
    </xf>
    <xf numFmtId="164" fontId="11" fillId="0" borderId="15" xfId="0" applyNumberFormat="1" applyFont="1" applyBorder="1" applyAlignment="1">
      <alignment horizontal="center" vertical="top"/>
    </xf>
    <xf numFmtId="1" fontId="10" fillId="0" borderId="2" xfId="0" applyNumberFormat="1" applyFont="1" applyBorder="1" applyAlignment="1">
      <alignment horizontal="center"/>
    </xf>
    <xf numFmtId="1" fontId="10" fillId="0" borderId="15" xfId="0" applyNumberFormat="1" applyFont="1" applyBorder="1" applyAlignment="1">
      <alignment horizontal="center"/>
    </xf>
    <xf numFmtId="0" fontId="10" fillId="0" borderId="0" xfId="0" applyFont="1" applyAlignment="1">
      <alignment horizontal="center"/>
    </xf>
    <xf numFmtId="0" fontId="9" fillId="3" borderId="0" xfId="0" applyFont="1" applyFill="1" applyAlignment="1">
      <alignment horizontal="center"/>
    </xf>
    <xf numFmtId="0" fontId="9" fillId="4" borderId="0" xfId="0" applyFont="1" applyFill="1" applyAlignment="1">
      <alignment horizontal="center"/>
    </xf>
    <xf numFmtId="0" fontId="9" fillId="4" borderId="18" xfId="0" applyFont="1" applyFill="1" applyBorder="1" applyAlignment="1">
      <alignment horizontal="center"/>
    </xf>
    <xf numFmtId="0" fontId="10" fillId="0" borderId="18" xfId="0" applyFont="1" applyBorder="1"/>
    <xf numFmtId="0" fontId="10" fillId="0" borderId="20" xfId="0" applyFont="1" applyBorder="1"/>
    <xf numFmtId="0" fontId="10" fillId="0" borderId="24" xfId="0" applyFont="1" applyBorder="1"/>
    <xf numFmtId="0" fontId="10" fillId="0" borderId="25" xfId="0" applyFont="1" applyBorder="1"/>
    <xf numFmtId="0" fontId="0" fillId="0" borderId="26" xfId="0" applyBorder="1"/>
    <xf numFmtId="0" fontId="0" fillId="0" borderId="20" xfId="0" applyBorder="1"/>
    <xf numFmtId="18" fontId="10" fillId="0" borderId="20" xfId="0" applyNumberFormat="1" applyFont="1" applyBorder="1"/>
    <xf numFmtId="44" fontId="10" fillId="0" borderId="0" xfId="1" applyFont="1"/>
    <xf numFmtId="44" fontId="10" fillId="0" borderId="16" xfId="1" applyFont="1" applyBorder="1"/>
    <xf numFmtId="0" fontId="12" fillId="5" borderId="2" xfId="0" applyFont="1" applyFill="1" applyBorder="1" applyAlignment="1">
      <alignment horizontal="center" vertical="top"/>
    </xf>
    <xf numFmtId="2" fontId="11" fillId="0" borderId="2" xfId="0" applyNumberFormat="1" applyFont="1" applyBorder="1" applyAlignment="1">
      <alignment horizontal="center" vertical="top"/>
    </xf>
    <xf numFmtId="2" fontId="11" fillId="0" borderId="27" xfId="0" applyNumberFormat="1" applyFont="1" applyBorder="1" applyAlignment="1">
      <alignment horizontal="center" vertical="top"/>
    </xf>
    <xf numFmtId="164" fontId="2" fillId="0" borderId="30" xfId="0" applyNumberFormat="1" applyFont="1" applyBorder="1" applyAlignment="1">
      <alignment horizontal="center" vertical="top"/>
    </xf>
    <xf numFmtId="0" fontId="7" fillId="0" borderId="7" xfId="0" applyFont="1" applyBorder="1" applyAlignment="1">
      <alignment horizontal="left" vertical="top" wrapText="1"/>
    </xf>
    <xf numFmtId="0" fontId="7" fillId="0" borderId="8" xfId="0" applyFont="1" applyBorder="1" applyAlignment="1">
      <alignment horizontal="left" vertical="top"/>
    </xf>
    <xf numFmtId="0" fontId="7" fillId="0" borderId="9" xfId="0" applyFont="1" applyBorder="1" applyAlignment="1">
      <alignment horizontal="left" vertical="top"/>
    </xf>
    <xf numFmtId="0" fontId="7" fillId="0" borderId="10" xfId="0" applyFont="1" applyBorder="1" applyAlignment="1">
      <alignment horizontal="left" vertical="top"/>
    </xf>
    <xf numFmtId="0" fontId="7" fillId="0" borderId="0" xfId="0" applyFont="1" applyBorder="1" applyAlignment="1">
      <alignment horizontal="left" vertical="top"/>
    </xf>
    <xf numFmtId="0" fontId="7" fillId="0" borderId="11" xfId="0" applyFont="1" applyBorder="1" applyAlignment="1">
      <alignment horizontal="left" vertical="top"/>
    </xf>
    <xf numFmtId="0" fontId="7" fillId="0" borderId="12" xfId="0" applyFont="1" applyBorder="1" applyAlignment="1">
      <alignment horizontal="left" vertical="top"/>
    </xf>
    <xf numFmtId="0" fontId="7" fillId="0" borderId="13" xfId="0" applyFont="1" applyBorder="1" applyAlignment="1">
      <alignment horizontal="left" vertical="top"/>
    </xf>
    <xf numFmtId="0" fontId="7" fillId="0" borderId="14" xfId="0" applyFont="1" applyBorder="1" applyAlignment="1">
      <alignment horizontal="left" vertical="top"/>
    </xf>
    <xf numFmtId="0" fontId="9" fillId="2" borderId="28" xfId="0" applyFont="1" applyFill="1" applyBorder="1" applyAlignment="1">
      <alignment horizontal="center"/>
    </xf>
    <xf numFmtId="0" fontId="9" fillId="2" borderId="29" xfId="0" applyFont="1" applyFill="1" applyBorder="1" applyAlignment="1">
      <alignment horizontal="center"/>
    </xf>
    <xf numFmtId="0" fontId="9" fillId="2" borderId="19" xfId="0" applyFont="1" applyFill="1" applyBorder="1" applyAlignment="1">
      <alignment horizontal="center"/>
    </xf>
    <xf numFmtId="0" fontId="10" fillId="0" borderId="21" xfId="0" applyFont="1" applyBorder="1" applyAlignment="1">
      <alignment horizontal="center"/>
    </xf>
    <xf numFmtId="0" fontId="10" fillId="0" borderId="22" xfId="0" applyFont="1" applyBorder="1" applyAlignment="1">
      <alignment horizontal="center"/>
    </xf>
    <xf numFmtId="0" fontId="10" fillId="0" borderId="23" xfId="0" applyFont="1" applyBorder="1" applyAlignment="1">
      <alignment horizontal="center"/>
    </xf>
  </cellXfs>
  <cellStyles count="2">
    <cellStyle name="Currency" xfId="1" builtinId="4"/>
    <cellStyle name="Normal" xfId="0" builtinId="0"/>
  </cellStyles>
  <dxfs count="33">
    <dxf>
      <font>
        <strike val="0"/>
        <outline val="0"/>
        <shadow val="0"/>
        <u val="none"/>
        <vertAlign val="baseline"/>
        <sz val="13"/>
        <name val="Calibri"/>
        <family val="2"/>
        <scheme val="minor"/>
      </font>
      <numFmt numFmtId="1" formatCode="0"/>
      <alignment horizontal="center" textRotation="0" wrapText="0" indent="0" justifyLastLine="0" shrinkToFit="0" readingOrder="0"/>
      <border diagonalUp="0" diagonalDown="0" outline="0">
        <left style="thin">
          <color auto="1"/>
        </left>
        <right/>
        <top style="thin">
          <color auto="1"/>
        </top>
        <bottom style="thin">
          <color auto="1"/>
        </bottom>
      </border>
    </dxf>
    <dxf>
      <font>
        <b/>
        <i val="0"/>
        <strike val="0"/>
        <condense val="0"/>
        <extend val="0"/>
        <outline val="0"/>
        <shadow val="0"/>
        <u val="none"/>
        <vertAlign val="baseline"/>
        <sz val="13"/>
        <color theme="1"/>
        <name val="Calibri"/>
        <family val="2"/>
        <scheme val="minor"/>
      </font>
      <numFmt numFmtId="2" formatCode="0.00"/>
      <alignment horizontal="center"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sz val="13"/>
        <name val="Calibri"/>
        <family val="2"/>
        <scheme val="minor"/>
      </font>
      <numFmt numFmtId="1" formatCode="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3"/>
        <color theme="1"/>
        <name val="Calibri"/>
        <family val="2"/>
        <scheme val="minor"/>
      </font>
      <numFmt numFmtId="2" formatCode="0.00"/>
      <alignment horizontal="center"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sz val="13"/>
        <name val="Calibri"/>
        <family val="2"/>
        <scheme val="minor"/>
      </font>
      <numFmt numFmtId="1" formatCode="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3"/>
        <color theme="1"/>
        <name val="Calibri"/>
        <family val="2"/>
        <scheme val="minor"/>
      </font>
      <numFmt numFmtId="2" formatCode="0.00"/>
      <alignment horizontal="center"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sz val="13"/>
        <name val="Calibri"/>
        <family val="2"/>
        <scheme val="minor"/>
      </font>
      <numFmt numFmtId="1" formatCode="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3"/>
        <color theme="1"/>
        <name val="Calibri"/>
        <family val="2"/>
        <scheme val="minor"/>
      </font>
      <numFmt numFmtId="2" formatCode="0.00"/>
      <alignment horizontal="center"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sz val="13"/>
        <name val="Calibri"/>
        <family val="2"/>
        <scheme val="minor"/>
      </font>
      <numFmt numFmtId="1" formatCode="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3"/>
        <color theme="1"/>
        <name val="Calibri"/>
        <family val="2"/>
        <scheme val="minor"/>
      </font>
      <numFmt numFmtId="2" formatCode="0.00"/>
      <alignment horizontal="center"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sz val="13"/>
        <name val="Calibri"/>
        <family val="2"/>
        <scheme val="minor"/>
      </font>
      <numFmt numFmtId="1" formatCode="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3"/>
        <color theme="1"/>
        <name val="Calibri"/>
        <family val="2"/>
        <scheme val="minor"/>
      </font>
      <numFmt numFmtId="2" formatCode="0.00"/>
      <alignment horizontal="center"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sz val="13"/>
        <name val="Calibri"/>
        <family val="2"/>
        <scheme val="minor"/>
      </font>
      <numFmt numFmtId="1" formatCode="0"/>
      <alignment horizont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3"/>
        <color theme="1"/>
        <name val="Calibri"/>
        <family val="2"/>
        <scheme val="minor"/>
      </font>
      <numFmt numFmtId="164" formatCode="[$-F400]h:mm:ss\ AM/PM"/>
      <alignment horizontal="center" vertical="top" textRotation="0" wrapText="0" indent="0" justifyLastLine="0" shrinkToFit="0" readingOrder="0"/>
      <border diagonalUp="0" diagonalDown="0" outline="0">
        <left/>
        <right style="thin">
          <color auto="1"/>
        </right>
        <top style="thin">
          <color auto="1"/>
        </top>
        <bottom style="thin">
          <color auto="1"/>
        </bottom>
      </border>
    </dxf>
    <dxf>
      <border outline="0">
        <top style="thin">
          <color indexed="64"/>
        </top>
      </border>
    </dxf>
    <dxf>
      <border outline="0">
        <left style="thin">
          <color auto="1"/>
        </left>
        <right style="thin">
          <color auto="1"/>
        </right>
        <top style="thin">
          <color auto="1"/>
        </top>
        <bottom style="thin">
          <color auto="1"/>
        </bottom>
      </border>
    </dxf>
    <dxf>
      <font>
        <b/>
        <i val="0"/>
        <strike val="0"/>
        <condense val="0"/>
        <extend val="0"/>
        <outline val="0"/>
        <shadow val="0"/>
        <u val="none"/>
        <vertAlign val="baseline"/>
        <sz val="13"/>
        <color theme="1"/>
        <name val="Calibri"/>
        <family val="2"/>
        <scheme val="minor"/>
      </font>
      <alignment horizontal="center"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3"/>
        <color theme="1"/>
        <name val="Calibri"/>
        <family val="2"/>
        <scheme val="minor"/>
      </font>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13</xdr:row>
          <xdr:rowOff>12700</xdr:rowOff>
        </xdr:from>
        <xdr:to>
          <xdr:col>1</xdr:col>
          <xdr:colOff>533400</xdr:colOff>
          <xdr:row>14</xdr:row>
          <xdr:rowOff>177800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Schedule Monday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13</xdr:row>
          <xdr:rowOff>12700</xdr:rowOff>
        </xdr:from>
        <xdr:to>
          <xdr:col>5</xdr:col>
          <xdr:colOff>520700</xdr:colOff>
          <xdr:row>14</xdr:row>
          <xdr:rowOff>177800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Schedule Tuesday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13</xdr:row>
          <xdr:rowOff>12700</xdr:rowOff>
        </xdr:from>
        <xdr:to>
          <xdr:col>9</xdr:col>
          <xdr:colOff>469900</xdr:colOff>
          <xdr:row>14</xdr:row>
          <xdr:rowOff>177800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Schedule Wednesday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698500</xdr:colOff>
          <xdr:row>13</xdr:row>
          <xdr:rowOff>25400</xdr:rowOff>
        </xdr:from>
        <xdr:to>
          <xdr:col>13</xdr:col>
          <xdr:colOff>495300</xdr:colOff>
          <xdr:row>14</xdr:row>
          <xdr:rowOff>190500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400-000004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Schedule Thursday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13</xdr:row>
          <xdr:rowOff>25400</xdr:rowOff>
        </xdr:from>
        <xdr:to>
          <xdr:col>17</xdr:col>
          <xdr:colOff>520700</xdr:colOff>
          <xdr:row>14</xdr:row>
          <xdr:rowOff>190500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4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Schedule Friday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13</xdr:row>
          <xdr:rowOff>25400</xdr:rowOff>
        </xdr:from>
        <xdr:to>
          <xdr:col>21</xdr:col>
          <xdr:colOff>457200</xdr:colOff>
          <xdr:row>14</xdr:row>
          <xdr:rowOff>190500</xdr:rowOff>
        </xdr:to>
        <xdr:sp macro="" textlink="">
          <xdr:nvSpPr>
            <xdr:cNvPr id="9222" name="Button 6" descr="Schedule Saturday" hidden="1">
              <a:extLst>
                <a:ext uri="{63B3BB69-23CF-44E3-9099-C40C66FF867C}">
                  <a14:compatExt spid="_x0000_s9222"/>
                </a:ext>
                <a:ext uri="{FF2B5EF4-FFF2-40B4-BE49-F238E27FC236}">
                  <a16:creationId xmlns:a16="http://schemas.microsoft.com/office/drawing/2014/main" id="{00000000-0008-0000-0400-00000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Schedule Saturda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12700</xdr:colOff>
          <xdr:row>13</xdr:row>
          <xdr:rowOff>38100</xdr:rowOff>
        </xdr:from>
        <xdr:to>
          <xdr:col>25</xdr:col>
          <xdr:colOff>228600</xdr:colOff>
          <xdr:row>14</xdr:row>
          <xdr:rowOff>203200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400-000007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Schedule Sunday</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14D472B-99EA-5D4D-A236-FCAEBFBBD0E4}" name="Table1" displayName="Table1" ref="A2:AB13" totalsRowShown="0" headerRowDxfId="32" dataDxfId="30" headerRowBorderDxfId="31" tableBorderDxfId="29" totalsRowBorderDxfId="28">
  <autoFilter ref="A2:AB13" xr:uid="{F6C9F265-7DC4-8442-BE40-AFDEC3D94D8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xr3:uid="{81507195-BE5F-F548-8840-2F829058DFE5}" name="start" dataDxfId="27"/>
    <tableColumn id="2" xr3:uid="{DFA79C19-B1D9-A14A-ADBF-B4D69CA50C3E}" name="end" dataDxfId="26"/>
    <tableColumn id="23" xr3:uid="{678D1F32-5364-8C43-ADDF-28A994F5A088}" name="length" dataDxfId="25">
      <calculatedColumnFormula>(Table1[[#This Row],[end]]-Table1[[#This Row],[start]])*24</calculatedColumnFormula>
    </tableColumn>
    <tableColumn id="3" xr3:uid="{EC1D5EC1-0DB6-5B4E-A251-E107D8CBD56E}" name="drivers" dataDxfId="24"/>
    <tableColumn id="4" xr3:uid="{D9AE3DB4-99CC-DC45-8FEC-17B687467F28}" name="start2" dataDxfId="23"/>
    <tableColumn id="5" xr3:uid="{1ED04838-419A-204C-A4C9-5F29DEFC48AC}" name="end2" dataDxfId="22"/>
    <tableColumn id="24" xr3:uid="{C8212018-A86F-8148-922C-4EE2C1E7EEB8}" name="length2" dataDxfId="21">
      <calculatedColumnFormula>(Table1[[#This Row],[end2]]-Table1[[#This Row],[start2]])*24</calculatedColumnFormula>
    </tableColumn>
    <tableColumn id="6" xr3:uid="{C729969F-AE15-0E48-8A7D-838686444C7E}" name="drivers2" dataDxfId="20"/>
    <tableColumn id="7" xr3:uid="{1B5F4850-D74E-7542-B829-987166453F63}" name="start3" dataDxfId="19"/>
    <tableColumn id="8" xr3:uid="{6A7CDF06-AD38-B447-A755-1CE7212D50BD}" name="end3" dataDxfId="18"/>
    <tableColumn id="25" xr3:uid="{115AB5DC-1C8C-6C4A-8AC5-2863D3054E83}" name="length3" dataDxfId="17">
      <calculatedColumnFormula>(Table1[[#This Row],[end3]]-Table1[[#This Row],[start3]])*24</calculatedColumnFormula>
    </tableColumn>
    <tableColumn id="9" xr3:uid="{D1B1B77C-9C51-5C40-B0E8-D4204E2628F3}" name="drivers3" dataDxfId="16"/>
    <tableColumn id="10" xr3:uid="{792D8A43-481E-F347-A4D2-27C5A9E17F1A}" name="start4" dataDxfId="15"/>
    <tableColumn id="11" xr3:uid="{5434DF5D-E982-474B-A532-BA779745EA57}" name="end4" dataDxfId="14"/>
    <tableColumn id="26" xr3:uid="{94F01896-81B2-FC4A-85FB-85F755039B0D}" name="length4" dataDxfId="13">
      <calculatedColumnFormula>(Table1[[#This Row],[end4]]-Table1[[#This Row],[start4]])*24</calculatedColumnFormula>
    </tableColumn>
    <tableColumn id="12" xr3:uid="{ED9962DA-01D1-4F4E-80FB-D7A7D1FB1CB9}" name="drivers4" dataDxfId="12"/>
    <tableColumn id="13" xr3:uid="{67ADD551-1F52-5241-AE92-173A10479435}" name="start5" dataDxfId="11"/>
    <tableColumn id="14" xr3:uid="{075D084B-51EA-B748-ACAC-C71DC69FE172}" name="end5" dataDxfId="10"/>
    <tableColumn id="27" xr3:uid="{199D693B-A4A2-2A48-8A14-348458A14227}" name="length5" dataDxfId="9">
      <calculatedColumnFormula>(Table1[[#This Row],[end5]]-Table1[[#This Row],[start5]])*24</calculatedColumnFormula>
    </tableColumn>
    <tableColumn id="15" xr3:uid="{3999A9D1-8034-5143-9806-A535BF08C7CA}" name="drivers5" dataDxfId="8"/>
    <tableColumn id="16" xr3:uid="{85203A98-C220-A145-B0F1-B316B1BD1A65}" name="start6" dataDxfId="7"/>
    <tableColumn id="17" xr3:uid="{1F4B8048-8DF2-E54E-8F8A-605D69373555}" name="end6" dataDxfId="6"/>
    <tableColumn id="28" xr3:uid="{C914F5CE-2B63-1143-B636-9E0E8A3C819C}" name="length6" dataDxfId="5">
      <calculatedColumnFormula>(Table1[[#This Row],[end6]]-Table1[[#This Row],[start6]])*24</calculatedColumnFormula>
    </tableColumn>
    <tableColumn id="18" xr3:uid="{8791A0F8-E8D1-4346-8503-24884858861C}" name="drivers6" dataDxfId="4"/>
    <tableColumn id="19" xr3:uid="{A81A72D6-B8D0-8746-9B6F-9311E8A6035D}" name="start7" dataDxfId="3"/>
    <tableColumn id="20" xr3:uid="{5723E758-392A-AA41-ADD4-FF01463F80A8}" name="end7" dataDxfId="2"/>
    <tableColumn id="29" xr3:uid="{81F670A0-C77A-4B4E-AC2E-14184028B5A0}" name="length7" dataDxfId="1">
      <calculatedColumnFormula>(Table1[[#This Row],[end7]]-Table1[[#This Row],[start7]])*24</calculatedColumnFormula>
    </tableColumn>
    <tableColumn id="21" xr3:uid="{A947159D-5F4D-0D4A-B272-5611AE580AAC}" name="drivers7"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table" Target="../tables/table1.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711B-18A1-AA4D-B2FF-56619C2AF4BC}">
  <sheetPr codeName="Sheet5"/>
  <dimension ref="A1:L25"/>
  <sheetViews>
    <sheetView workbookViewId="0">
      <selection activeCell="N17" sqref="N17"/>
    </sheetView>
  </sheetViews>
  <sheetFormatPr baseColWidth="10" defaultRowHeight="16"/>
  <sheetData>
    <row r="1" spans="1:12">
      <c r="A1" s="34" t="s">
        <v>102</v>
      </c>
      <c r="B1" s="35"/>
      <c r="C1" s="35"/>
      <c r="D1" s="35"/>
      <c r="E1" s="35"/>
      <c r="F1" s="35"/>
      <c r="G1" s="35"/>
      <c r="H1" s="35"/>
      <c r="I1" s="35"/>
      <c r="J1" s="35"/>
      <c r="K1" s="35"/>
      <c r="L1" s="36"/>
    </row>
    <row r="2" spans="1:12">
      <c r="A2" s="37"/>
      <c r="B2" s="38"/>
      <c r="C2" s="38"/>
      <c r="D2" s="38"/>
      <c r="E2" s="38"/>
      <c r="F2" s="38"/>
      <c r="G2" s="38"/>
      <c r="H2" s="38"/>
      <c r="I2" s="38"/>
      <c r="J2" s="38"/>
      <c r="K2" s="38"/>
      <c r="L2" s="39"/>
    </row>
    <row r="3" spans="1:12">
      <c r="A3" s="37"/>
      <c r="B3" s="38"/>
      <c r="C3" s="38"/>
      <c r="D3" s="38"/>
      <c r="E3" s="38"/>
      <c r="F3" s="38"/>
      <c r="G3" s="38"/>
      <c r="H3" s="38"/>
      <c r="I3" s="38"/>
      <c r="J3" s="38"/>
      <c r="K3" s="38"/>
      <c r="L3" s="39"/>
    </row>
    <row r="4" spans="1:12">
      <c r="A4" s="37"/>
      <c r="B4" s="38"/>
      <c r="C4" s="38"/>
      <c r="D4" s="38"/>
      <c r="E4" s="38"/>
      <c r="F4" s="38"/>
      <c r="G4" s="38"/>
      <c r="H4" s="38"/>
      <c r="I4" s="38"/>
      <c r="J4" s="38"/>
      <c r="K4" s="38"/>
      <c r="L4" s="39"/>
    </row>
    <row r="5" spans="1:12">
      <c r="A5" s="37"/>
      <c r="B5" s="38"/>
      <c r="C5" s="38"/>
      <c r="D5" s="38"/>
      <c r="E5" s="38"/>
      <c r="F5" s="38"/>
      <c r="G5" s="38"/>
      <c r="H5" s="38"/>
      <c r="I5" s="38"/>
      <c r="J5" s="38"/>
      <c r="K5" s="38"/>
      <c r="L5" s="39"/>
    </row>
    <row r="6" spans="1:12">
      <c r="A6" s="37"/>
      <c r="B6" s="38"/>
      <c r="C6" s="38"/>
      <c r="D6" s="38"/>
      <c r="E6" s="38"/>
      <c r="F6" s="38"/>
      <c r="G6" s="38"/>
      <c r="H6" s="38"/>
      <c r="I6" s="38"/>
      <c r="J6" s="38"/>
      <c r="K6" s="38"/>
      <c r="L6" s="39"/>
    </row>
    <row r="7" spans="1:12">
      <c r="A7" s="37"/>
      <c r="B7" s="38"/>
      <c r="C7" s="38"/>
      <c r="D7" s="38"/>
      <c r="E7" s="38"/>
      <c r="F7" s="38"/>
      <c r="G7" s="38"/>
      <c r="H7" s="38"/>
      <c r="I7" s="38"/>
      <c r="J7" s="38"/>
      <c r="K7" s="38"/>
      <c r="L7" s="39"/>
    </row>
    <row r="8" spans="1:12">
      <c r="A8" s="37"/>
      <c r="B8" s="38"/>
      <c r="C8" s="38"/>
      <c r="D8" s="38"/>
      <c r="E8" s="38"/>
      <c r="F8" s="38"/>
      <c r="G8" s="38"/>
      <c r="H8" s="38"/>
      <c r="I8" s="38"/>
      <c r="J8" s="38"/>
      <c r="K8" s="38"/>
      <c r="L8" s="39"/>
    </row>
    <row r="9" spans="1:12">
      <c r="A9" s="37"/>
      <c r="B9" s="38"/>
      <c r="C9" s="38"/>
      <c r="D9" s="38"/>
      <c r="E9" s="38"/>
      <c r="F9" s="38"/>
      <c r="G9" s="38"/>
      <c r="H9" s="38"/>
      <c r="I9" s="38"/>
      <c r="J9" s="38"/>
      <c r="K9" s="38"/>
      <c r="L9" s="39"/>
    </row>
    <row r="10" spans="1:12">
      <c r="A10" s="37"/>
      <c r="B10" s="38"/>
      <c r="C10" s="38"/>
      <c r="D10" s="38"/>
      <c r="E10" s="38"/>
      <c r="F10" s="38"/>
      <c r="G10" s="38"/>
      <c r="H10" s="38"/>
      <c r="I10" s="38"/>
      <c r="J10" s="38"/>
      <c r="K10" s="38"/>
      <c r="L10" s="39"/>
    </row>
    <row r="11" spans="1:12">
      <c r="A11" s="37"/>
      <c r="B11" s="38"/>
      <c r="C11" s="38"/>
      <c r="D11" s="38"/>
      <c r="E11" s="38"/>
      <c r="F11" s="38"/>
      <c r="G11" s="38"/>
      <c r="H11" s="38"/>
      <c r="I11" s="38"/>
      <c r="J11" s="38"/>
      <c r="K11" s="38"/>
      <c r="L11" s="39"/>
    </row>
    <row r="12" spans="1:12">
      <c r="A12" s="37"/>
      <c r="B12" s="38"/>
      <c r="C12" s="38"/>
      <c r="D12" s="38"/>
      <c r="E12" s="38"/>
      <c r="F12" s="38"/>
      <c r="G12" s="38"/>
      <c r="H12" s="38"/>
      <c r="I12" s="38"/>
      <c r="J12" s="38"/>
      <c r="K12" s="38"/>
      <c r="L12" s="39"/>
    </row>
    <row r="13" spans="1:12">
      <c r="A13" s="37"/>
      <c r="B13" s="38"/>
      <c r="C13" s="38"/>
      <c r="D13" s="38"/>
      <c r="E13" s="38"/>
      <c r="F13" s="38"/>
      <c r="G13" s="38"/>
      <c r="H13" s="38"/>
      <c r="I13" s="38"/>
      <c r="J13" s="38"/>
      <c r="K13" s="38"/>
      <c r="L13" s="39"/>
    </row>
    <row r="14" spans="1:12">
      <c r="A14" s="37"/>
      <c r="B14" s="38"/>
      <c r="C14" s="38"/>
      <c r="D14" s="38"/>
      <c r="E14" s="38"/>
      <c r="F14" s="38"/>
      <c r="G14" s="38"/>
      <c r="H14" s="38"/>
      <c r="I14" s="38"/>
      <c r="J14" s="38"/>
      <c r="K14" s="38"/>
      <c r="L14" s="39"/>
    </row>
    <row r="15" spans="1:12">
      <c r="A15" s="37"/>
      <c r="B15" s="38"/>
      <c r="C15" s="38"/>
      <c r="D15" s="38"/>
      <c r="E15" s="38"/>
      <c r="F15" s="38"/>
      <c r="G15" s="38"/>
      <c r="H15" s="38"/>
      <c r="I15" s="38"/>
      <c r="J15" s="38"/>
      <c r="K15" s="38"/>
      <c r="L15" s="39"/>
    </row>
    <row r="16" spans="1:12">
      <c r="A16" s="37"/>
      <c r="B16" s="38"/>
      <c r="C16" s="38"/>
      <c r="D16" s="38"/>
      <c r="E16" s="38"/>
      <c r="F16" s="38"/>
      <c r="G16" s="38"/>
      <c r="H16" s="38"/>
      <c r="I16" s="38"/>
      <c r="J16" s="38"/>
      <c r="K16" s="38"/>
      <c r="L16" s="39"/>
    </row>
    <row r="17" spans="1:12">
      <c r="A17" s="37"/>
      <c r="B17" s="38"/>
      <c r="C17" s="38"/>
      <c r="D17" s="38"/>
      <c r="E17" s="38"/>
      <c r="F17" s="38"/>
      <c r="G17" s="38"/>
      <c r="H17" s="38"/>
      <c r="I17" s="38"/>
      <c r="J17" s="38"/>
      <c r="K17" s="38"/>
      <c r="L17" s="39"/>
    </row>
    <row r="18" spans="1:12">
      <c r="A18" s="37"/>
      <c r="B18" s="38"/>
      <c r="C18" s="38"/>
      <c r="D18" s="38"/>
      <c r="E18" s="38"/>
      <c r="F18" s="38"/>
      <c r="G18" s="38"/>
      <c r="H18" s="38"/>
      <c r="I18" s="38"/>
      <c r="J18" s="38"/>
      <c r="K18" s="38"/>
      <c r="L18" s="39"/>
    </row>
    <row r="19" spans="1:12">
      <c r="A19" s="37"/>
      <c r="B19" s="38"/>
      <c r="C19" s="38"/>
      <c r="D19" s="38"/>
      <c r="E19" s="38"/>
      <c r="F19" s="38"/>
      <c r="G19" s="38"/>
      <c r="H19" s="38"/>
      <c r="I19" s="38"/>
      <c r="J19" s="38"/>
      <c r="K19" s="38"/>
      <c r="L19" s="39"/>
    </row>
    <row r="20" spans="1:12">
      <c r="A20" s="37"/>
      <c r="B20" s="38"/>
      <c r="C20" s="38"/>
      <c r="D20" s="38"/>
      <c r="E20" s="38"/>
      <c r="F20" s="38"/>
      <c r="G20" s="38"/>
      <c r="H20" s="38"/>
      <c r="I20" s="38"/>
      <c r="J20" s="38"/>
      <c r="K20" s="38"/>
      <c r="L20" s="39"/>
    </row>
    <row r="21" spans="1:12">
      <c r="A21" s="37"/>
      <c r="B21" s="38"/>
      <c r="C21" s="38"/>
      <c r="D21" s="38"/>
      <c r="E21" s="38"/>
      <c r="F21" s="38"/>
      <c r="G21" s="38"/>
      <c r="H21" s="38"/>
      <c r="I21" s="38"/>
      <c r="J21" s="38"/>
      <c r="K21" s="38"/>
      <c r="L21" s="39"/>
    </row>
    <row r="22" spans="1:12">
      <c r="A22" s="37"/>
      <c r="B22" s="38"/>
      <c r="C22" s="38"/>
      <c r="D22" s="38"/>
      <c r="E22" s="38"/>
      <c r="F22" s="38"/>
      <c r="G22" s="38"/>
      <c r="H22" s="38"/>
      <c r="I22" s="38"/>
      <c r="J22" s="38"/>
      <c r="K22" s="38"/>
      <c r="L22" s="39"/>
    </row>
    <row r="23" spans="1:12">
      <c r="A23" s="37"/>
      <c r="B23" s="38"/>
      <c r="C23" s="38"/>
      <c r="D23" s="38"/>
      <c r="E23" s="38"/>
      <c r="F23" s="38"/>
      <c r="G23" s="38"/>
      <c r="H23" s="38"/>
      <c r="I23" s="38"/>
      <c r="J23" s="38"/>
      <c r="K23" s="38"/>
      <c r="L23" s="39"/>
    </row>
    <row r="24" spans="1:12">
      <c r="A24" s="37"/>
      <c r="B24" s="38"/>
      <c r="C24" s="38"/>
      <c r="D24" s="38"/>
      <c r="E24" s="38"/>
      <c r="F24" s="38"/>
      <c r="G24" s="38"/>
      <c r="H24" s="38"/>
      <c r="I24" s="38"/>
      <c r="J24" s="38"/>
      <c r="K24" s="38"/>
      <c r="L24" s="39"/>
    </row>
    <row r="25" spans="1:12">
      <c r="A25" s="40"/>
      <c r="B25" s="41"/>
      <c r="C25" s="41"/>
      <c r="D25" s="41"/>
      <c r="E25" s="41"/>
      <c r="F25" s="41"/>
      <c r="G25" s="41"/>
      <c r="H25" s="41"/>
      <c r="I25" s="41"/>
      <c r="J25" s="41"/>
      <c r="K25" s="41"/>
      <c r="L25" s="42"/>
    </row>
  </sheetData>
  <mergeCells count="1">
    <mergeCell ref="A1:L2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A2635-9B96-254F-9271-2717AEBFD884}">
  <sheetPr codeName="Sheet1"/>
  <dimension ref="A1:H33"/>
  <sheetViews>
    <sheetView workbookViewId="0">
      <selection activeCell="M22" sqref="M22"/>
    </sheetView>
  </sheetViews>
  <sheetFormatPr baseColWidth="10" defaultRowHeight="16"/>
  <sheetData>
    <row r="1" spans="1:8">
      <c r="A1" s="1" t="s">
        <v>0</v>
      </c>
      <c r="B1" s="1" t="s">
        <v>1</v>
      </c>
      <c r="C1" s="1" t="s">
        <v>2</v>
      </c>
      <c r="D1" s="1" t="s">
        <v>3</v>
      </c>
      <c r="E1" s="1" t="s">
        <v>4</v>
      </c>
      <c r="F1" s="1" t="s">
        <v>5</v>
      </c>
      <c r="G1" s="1" t="s">
        <v>6</v>
      </c>
      <c r="H1" s="1" t="s">
        <v>7</v>
      </c>
    </row>
    <row r="2" spans="1:8">
      <c r="A2" s="1" t="s">
        <v>8</v>
      </c>
      <c r="B2">
        <v>0</v>
      </c>
      <c r="C2">
        <v>0</v>
      </c>
      <c r="D2">
        <v>0</v>
      </c>
      <c r="E2">
        <v>0</v>
      </c>
      <c r="F2">
        <v>0</v>
      </c>
      <c r="G2">
        <v>0</v>
      </c>
      <c r="H2">
        <v>0</v>
      </c>
    </row>
    <row r="3" spans="1:8">
      <c r="A3" s="1" t="s">
        <v>9</v>
      </c>
      <c r="B3">
        <v>3</v>
      </c>
      <c r="C3">
        <v>4</v>
      </c>
      <c r="D3">
        <v>5</v>
      </c>
      <c r="E3">
        <v>7</v>
      </c>
      <c r="F3">
        <v>5</v>
      </c>
      <c r="G3">
        <v>5</v>
      </c>
      <c r="H3">
        <v>4</v>
      </c>
    </row>
    <row r="4" spans="1:8">
      <c r="A4" s="1" t="s">
        <v>10</v>
      </c>
      <c r="B4">
        <v>4</v>
      </c>
      <c r="C4">
        <v>4</v>
      </c>
      <c r="D4">
        <v>3</v>
      </c>
      <c r="E4">
        <v>4</v>
      </c>
      <c r="F4">
        <v>7</v>
      </c>
      <c r="G4">
        <v>7</v>
      </c>
      <c r="H4">
        <v>5</v>
      </c>
    </row>
    <row r="5" spans="1:8">
      <c r="A5" s="1" t="s">
        <v>11</v>
      </c>
      <c r="B5">
        <v>5</v>
      </c>
      <c r="C5">
        <v>3</v>
      </c>
      <c r="D5">
        <v>6</v>
      </c>
      <c r="E5">
        <v>6</v>
      </c>
      <c r="F5">
        <v>8</v>
      </c>
      <c r="G5">
        <v>7</v>
      </c>
      <c r="H5">
        <v>6</v>
      </c>
    </row>
    <row r="6" spans="1:8">
      <c r="A6" s="1" t="s">
        <v>12</v>
      </c>
      <c r="B6">
        <v>5</v>
      </c>
      <c r="C6">
        <v>5</v>
      </c>
      <c r="D6">
        <v>5</v>
      </c>
      <c r="E6">
        <v>7</v>
      </c>
      <c r="F6">
        <v>8</v>
      </c>
      <c r="G6">
        <v>8</v>
      </c>
      <c r="H6">
        <v>7</v>
      </c>
    </row>
    <row r="7" spans="1:8">
      <c r="A7" s="1" t="s">
        <v>13</v>
      </c>
      <c r="B7">
        <v>8</v>
      </c>
      <c r="C7">
        <v>5</v>
      </c>
      <c r="D7">
        <v>10</v>
      </c>
      <c r="E7">
        <v>8</v>
      </c>
      <c r="F7">
        <v>10</v>
      </c>
      <c r="G7">
        <v>13</v>
      </c>
      <c r="H7">
        <v>9</v>
      </c>
    </row>
    <row r="8" spans="1:8">
      <c r="A8" s="1" t="s">
        <v>14</v>
      </c>
      <c r="B8">
        <v>19</v>
      </c>
      <c r="C8">
        <v>19</v>
      </c>
      <c r="D8">
        <v>20</v>
      </c>
      <c r="E8">
        <v>25</v>
      </c>
      <c r="F8">
        <v>25</v>
      </c>
      <c r="G8">
        <v>18</v>
      </c>
      <c r="H8">
        <v>14</v>
      </c>
    </row>
    <row r="9" spans="1:8">
      <c r="A9" s="1" t="s">
        <v>15</v>
      </c>
      <c r="B9">
        <v>45</v>
      </c>
      <c r="C9">
        <v>52</v>
      </c>
      <c r="D9">
        <v>57</v>
      </c>
      <c r="E9">
        <v>60</v>
      </c>
      <c r="F9">
        <v>69</v>
      </c>
      <c r="G9">
        <v>36</v>
      </c>
      <c r="H9">
        <v>36</v>
      </c>
    </row>
    <row r="10" spans="1:8">
      <c r="A10" s="1" t="s">
        <v>16</v>
      </c>
      <c r="B10">
        <v>45</v>
      </c>
      <c r="C10">
        <v>51</v>
      </c>
      <c r="D10">
        <v>58</v>
      </c>
      <c r="E10">
        <v>64</v>
      </c>
      <c r="F10">
        <v>65</v>
      </c>
      <c r="G10">
        <v>41</v>
      </c>
      <c r="H10">
        <v>44</v>
      </c>
    </row>
    <row r="11" spans="1:8">
      <c r="A11" s="1" t="s">
        <v>17</v>
      </c>
      <c r="B11">
        <v>45</v>
      </c>
      <c r="C11">
        <v>52</v>
      </c>
      <c r="D11">
        <v>53</v>
      </c>
      <c r="E11">
        <v>61</v>
      </c>
      <c r="F11">
        <v>70</v>
      </c>
      <c r="G11">
        <v>49</v>
      </c>
      <c r="H11">
        <v>50</v>
      </c>
    </row>
    <row r="12" spans="1:8">
      <c r="A12" s="1" t="s">
        <v>18</v>
      </c>
      <c r="B12">
        <v>43</v>
      </c>
      <c r="C12">
        <v>44</v>
      </c>
      <c r="D12">
        <v>43</v>
      </c>
      <c r="E12">
        <v>46</v>
      </c>
      <c r="F12">
        <v>52</v>
      </c>
      <c r="G12">
        <v>46</v>
      </c>
      <c r="H12">
        <v>48</v>
      </c>
    </row>
    <row r="13" spans="1:8">
      <c r="A13" s="1" t="s">
        <v>19</v>
      </c>
      <c r="B13">
        <v>31</v>
      </c>
      <c r="C13">
        <v>37</v>
      </c>
      <c r="D13">
        <v>37</v>
      </c>
      <c r="E13">
        <v>41</v>
      </c>
      <c r="F13">
        <v>50</v>
      </c>
      <c r="G13">
        <v>48</v>
      </c>
      <c r="H13">
        <v>51</v>
      </c>
    </row>
    <row r="14" spans="1:8">
      <c r="A14" s="1" t="s">
        <v>20</v>
      </c>
      <c r="B14">
        <v>30</v>
      </c>
      <c r="C14">
        <v>30</v>
      </c>
      <c r="D14">
        <v>30</v>
      </c>
      <c r="E14">
        <v>34</v>
      </c>
      <c r="F14">
        <v>32</v>
      </c>
      <c r="G14">
        <v>41</v>
      </c>
      <c r="H14">
        <v>46</v>
      </c>
    </row>
    <row r="15" spans="1:8">
      <c r="A15" s="1" t="s">
        <v>21</v>
      </c>
      <c r="B15">
        <v>23</v>
      </c>
      <c r="C15">
        <v>27</v>
      </c>
      <c r="D15">
        <v>24</v>
      </c>
      <c r="E15">
        <v>30</v>
      </c>
      <c r="F15">
        <v>27</v>
      </c>
      <c r="G15">
        <v>41</v>
      </c>
      <c r="H15">
        <v>38</v>
      </c>
    </row>
    <row r="16" spans="1:8">
      <c r="A16" s="1" t="s">
        <v>22</v>
      </c>
      <c r="B16">
        <v>21</v>
      </c>
      <c r="C16">
        <v>20</v>
      </c>
      <c r="D16">
        <v>20</v>
      </c>
      <c r="E16">
        <v>22</v>
      </c>
      <c r="F16">
        <v>27</v>
      </c>
      <c r="G16">
        <v>33</v>
      </c>
      <c r="H16">
        <v>30</v>
      </c>
    </row>
    <row r="17" spans="1:8">
      <c r="A17" s="1" t="s">
        <v>23</v>
      </c>
      <c r="B17">
        <v>15</v>
      </c>
      <c r="C17">
        <v>19</v>
      </c>
      <c r="D17">
        <v>18</v>
      </c>
      <c r="E17">
        <v>24</v>
      </c>
      <c r="F17">
        <v>26</v>
      </c>
      <c r="G17">
        <v>35</v>
      </c>
      <c r="H17">
        <v>35</v>
      </c>
    </row>
    <row r="18" spans="1:8">
      <c r="A18" s="1" t="s">
        <v>24</v>
      </c>
      <c r="B18">
        <v>17</v>
      </c>
      <c r="C18">
        <v>18</v>
      </c>
      <c r="D18">
        <v>23</v>
      </c>
      <c r="E18">
        <v>27</v>
      </c>
      <c r="F18">
        <v>27</v>
      </c>
      <c r="G18">
        <v>32</v>
      </c>
      <c r="H18">
        <v>37</v>
      </c>
    </row>
    <row r="19" spans="1:8">
      <c r="A19" s="1" t="s">
        <v>25</v>
      </c>
      <c r="B19">
        <v>23</v>
      </c>
      <c r="C19">
        <v>24</v>
      </c>
      <c r="D19">
        <v>26</v>
      </c>
      <c r="E19">
        <v>26</v>
      </c>
      <c r="F19">
        <v>34</v>
      </c>
      <c r="G19">
        <v>35</v>
      </c>
      <c r="H19">
        <v>39</v>
      </c>
    </row>
    <row r="20" spans="1:8">
      <c r="A20" s="1" t="s">
        <v>26</v>
      </c>
      <c r="B20">
        <v>25</v>
      </c>
      <c r="C20">
        <v>27</v>
      </c>
      <c r="D20">
        <v>30</v>
      </c>
      <c r="E20">
        <v>32</v>
      </c>
      <c r="F20">
        <v>38</v>
      </c>
      <c r="G20">
        <v>42</v>
      </c>
      <c r="H20">
        <v>42</v>
      </c>
    </row>
    <row r="21" spans="1:8">
      <c r="A21" s="1" t="s">
        <v>27</v>
      </c>
      <c r="B21">
        <v>34</v>
      </c>
      <c r="C21">
        <v>36</v>
      </c>
      <c r="D21">
        <v>40</v>
      </c>
      <c r="E21">
        <v>44</v>
      </c>
      <c r="F21">
        <v>47</v>
      </c>
      <c r="G21">
        <v>48</v>
      </c>
      <c r="H21">
        <v>57</v>
      </c>
    </row>
    <row r="22" spans="1:8">
      <c r="A22" s="1" t="s">
        <v>28</v>
      </c>
      <c r="B22">
        <v>45</v>
      </c>
      <c r="C22">
        <v>46</v>
      </c>
      <c r="D22">
        <v>49</v>
      </c>
      <c r="E22">
        <v>55</v>
      </c>
      <c r="F22">
        <v>66</v>
      </c>
      <c r="G22">
        <v>66</v>
      </c>
      <c r="H22">
        <v>65</v>
      </c>
    </row>
    <row r="23" spans="1:8">
      <c r="A23" s="1" t="s">
        <v>29</v>
      </c>
      <c r="B23">
        <v>55</v>
      </c>
      <c r="C23">
        <v>54</v>
      </c>
      <c r="D23">
        <v>62</v>
      </c>
      <c r="E23">
        <v>64</v>
      </c>
      <c r="F23">
        <v>70</v>
      </c>
      <c r="G23">
        <v>77</v>
      </c>
      <c r="H23">
        <v>71</v>
      </c>
    </row>
    <row r="24" spans="1:8">
      <c r="A24" s="1" t="s">
        <v>30</v>
      </c>
      <c r="B24">
        <v>50</v>
      </c>
      <c r="C24">
        <v>55</v>
      </c>
      <c r="D24">
        <v>57</v>
      </c>
      <c r="E24">
        <v>61</v>
      </c>
      <c r="F24">
        <v>76</v>
      </c>
      <c r="G24">
        <v>68</v>
      </c>
      <c r="H24">
        <v>69</v>
      </c>
    </row>
    <row r="25" spans="1:8">
      <c r="A25" s="1" t="s">
        <v>31</v>
      </c>
      <c r="B25">
        <v>50</v>
      </c>
      <c r="C25">
        <v>50</v>
      </c>
      <c r="D25">
        <v>57</v>
      </c>
      <c r="E25">
        <v>62</v>
      </c>
      <c r="F25">
        <v>72</v>
      </c>
      <c r="G25">
        <v>68</v>
      </c>
      <c r="H25">
        <v>72</v>
      </c>
    </row>
    <row r="26" spans="1:8">
      <c r="A26" s="1" t="s">
        <v>32</v>
      </c>
      <c r="B26">
        <v>50</v>
      </c>
      <c r="C26">
        <v>51</v>
      </c>
      <c r="D26">
        <v>54</v>
      </c>
      <c r="E26">
        <v>63</v>
      </c>
      <c r="F26">
        <v>67</v>
      </c>
      <c r="G26">
        <v>66</v>
      </c>
      <c r="H26">
        <v>67</v>
      </c>
    </row>
    <row r="27" spans="1:8">
      <c r="A27" s="1" t="s">
        <v>33</v>
      </c>
      <c r="B27">
        <v>49</v>
      </c>
      <c r="C27">
        <v>48</v>
      </c>
      <c r="D27">
        <v>47</v>
      </c>
      <c r="E27">
        <v>54</v>
      </c>
      <c r="F27">
        <v>73</v>
      </c>
      <c r="G27">
        <v>59</v>
      </c>
      <c r="H27">
        <v>63</v>
      </c>
    </row>
    <row r="28" spans="1:8">
      <c r="A28" s="1" t="s">
        <v>34</v>
      </c>
      <c r="B28">
        <v>41</v>
      </c>
      <c r="C28">
        <v>43</v>
      </c>
      <c r="D28">
        <v>38</v>
      </c>
      <c r="E28">
        <v>48</v>
      </c>
      <c r="F28">
        <v>55</v>
      </c>
      <c r="G28">
        <v>55</v>
      </c>
      <c r="H28">
        <v>53</v>
      </c>
    </row>
    <row r="29" spans="1:8">
      <c r="A29" s="1" t="s">
        <v>35</v>
      </c>
      <c r="B29">
        <v>29</v>
      </c>
      <c r="C29">
        <v>28</v>
      </c>
      <c r="D29">
        <v>33</v>
      </c>
      <c r="E29">
        <v>36</v>
      </c>
      <c r="F29">
        <v>46</v>
      </c>
      <c r="G29">
        <v>41</v>
      </c>
      <c r="H29">
        <v>40</v>
      </c>
    </row>
    <row r="30" spans="1:8">
      <c r="A30" s="1" t="s">
        <v>36</v>
      </c>
      <c r="B30">
        <v>16</v>
      </c>
      <c r="C30">
        <v>14</v>
      </c>
      <c r="D30">
        <v>15</v>
      </c>
      <c r="E30">
        <v>21</v>
      </c>
      <c r="F30">
        <v>23</v>
      </c>
      <c r="G30">
        <v>33</v>
      </c>
      <c r="H30">
        <v>13</v>
      </c>
    </row>
    <row r="31" spans="1:8">
      <c r="A31" s="1" t="s">
        <v>37</v>
      </c>
      <c r="B31">
        <v>12</v>
      </c>
      <c r="C31">
        <v>16</v>
      </c>
      <c r="D31">
        <v>11</v>
      </c>
      <c r="E31">
        <v>15</v>
      </c>
      <c r="F31">
        <v>24</v>
      </c>
      <c r="G31">
        <v>19</v>
      </c>
      <c r="H31">
        <v>12</v>
      </c>
    </row>
    <row r="32" spans="1:8">
      <c r="A32" s="1" t="s">
        <v>38</v>
      </c>
      <c r="B32">
        <v>10</v>
      </c>
      <c r="C32">
        <v>8</v>
      </c>
      <c r="D32">
        <v>9</v>
      </c>
      <c r="E32">
        <v>11</v>
      </c>
      <c r="F32">
        <v>14</v>
      </c>
      <c r="G32">
        <v>14</v>
      </c>
      <c r="H32">
        <v>5</v>
      </c>
    </row>
    <row r="33" spans="1:8">
      <c r="A33" s="1" t="s">
        <v>39</v>
      </c>
      <c r="B33">
        <v>1</v>
      </c>
      <c r="C33">
        <v>0</v>
      </c>
      <c r="D33">
        <v>1</v>
      </c>
      <c r="E33">
        <v>0</v>
      </c>
      <c r="F33">
        <v>9</v>
      </c>
      <c r="G33">
        <v>8</v>
      </c>
      <c r="H3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6E457-7420-4549-9F3A-7314B0BEC0C8}">
  <sheetPr codeName="Sheet2"/>
  <dimension ref="A1:H33"/>
  <sheetViews>
    <sheetView workbookViewId="0">
      <selection activeCell="B2" sqref="B2"/>
    </sheetView>
  </sheetViews>
  <sheetFormatPr baseColWidth="10" defaultRowHeight="16"/>
  <cols>
    <col min="16" max="16" width="11.33203125" bestFit="1" customWidth="1"/>
  </cols>
  <sheetData>
    <row r="1" spans="1:8">
      <c r="A1" s="2" t="s">
        <v>40</v>
      </c>
      <c r="B1" s="2" t="s">
        <v>41</v>
      </c>
      <c r="C1" s="2" t="s">
        <v>42</v>
      </c>
      <c r="D1" s="2" t="s">
        <v>43</v>
      </c>
      <c r="E1" s="2" t="s">
        <v>44</v>
      </c>
      <c r="F1" s="2" t="s">
        <v>45</v>
      </c>
      <c r="G1" s="2" t="s">
        <v>46</v>
      </c>
      <c r="H1" s="2" t="s">
        <v>47</v>
      </c>
    </row>
    <row r="2" spans="1:8">
      <c r="A2" s="2" t="s">
        <v>8</v>
      </c>
      <c r="B2">
        <v>1.85</v>
      </c>
      <c r="C2">
        <v>1.87</v>
      </c>
      <c r="D2">
        <v>1.69</v>
      </c>
      <c r="E2">
        <v>1.83</v>
      </c>
      <c r="F2">
        <v>1.55</v>
      </c>
      <c r="G2">
        <v>1.56</v>
      </c>
      <c r="H2">
        <v>1.69</v>
      </c>
    </row>
    <row r="3" spans="1:8">
      <c r="A3" s="2" t="s">
        <v>9</v>
      </c>
      <c r="B3">
        <v>1.79</v>
      </c>
      <c r="C3">
        <v>1.97</v>
      </c>
      <c r="D3">
        <v>1.69</v>
      </c>
      <c r="E3">
        <v>1.72</v>
      </c>
      <c r="F3">
        <v>1.66</v>
      </c>
      <c r="G3">
        <v>1.6</v>
      </c>
      <c r="H3">
        <v>1.58</v>
      </c>
    </row>
    <row r="4" spans="1:8">
      <c r="A4" s="2" t="s">
        <v>10</v>
      </c>
      <c r="B4">
        <v>1.7</v>
      </c>
      <c r="C4">
        <v>1.79</v>
      </c>
      <c r="D4">
        <v>1.76</v>
      </c>
      <c r="E4">
        <v>1.63</v>
      </c>
      <c r="F4">
        <v>1.38</v>
      </c>
      <c r="G4">
        <v>1.48</v>
      </c>
      <c r="H4">
        <v>1.37</v>
      </c>
    </row>
    <row r="5" spans="1:8">
      <c r="A5" s="2" t="s">
        <v>11</v>
      </c>
      <c r="B5">
        <v>1.93</v>
      </c>
      <c r="C5">
        <v>1.79</v>
      </c>
      <c r="D5">
        <v>1.92</v>
      </c>
      <c r="E5">
        <v>1.61</v>
      </c>
      <c r="F5">
        <v>1.54</v>
      </c>
      <c r="G5">
        <v>1.47</v>
      </c>
      <c r="H5">
        <v>1.38</v>
      </c>
    </row>
    <row r="6" spans="1:8">
      <c r="A6" s="2" t="s">
        <v>12</v>
      </c>
      <c r="B6">
        <v>1.59</v>
      </c>
      <c r="C6">
        <v>1.54</v>
      </c>
      <c r="D6">
        <v>1.5</v>
      </c>
      <c r="E6">
        <v>1.54</v>
      </c>
      <c r="F6">
        <v>1.52</v>
      </c>
      <c r="G6">
        <v>1.35</v>
      </c>
      <c r="H6">
        <v>1.24</v>
      </c>
    </row>
    <row r="7" spans="1:8">
      <c r="A7" s="2" t="s">
        <v>13</v>
      </c>
      <c r="B7">
        <v>1.63</v>
      </c>
      <c r="C7">
        <v>1.65</v>
      </c>
      <c r="D7">
        <v>1.61</v>
      </c>
      <c r="E7">
        <v>1.65</v>
      </c>
      <c r="F7">
        <v>1.58</v>
      </c>
      <c r="G7">
        <v>1.46</v>
      </c>
      <c r="H7">
        <v>1.46</v>
      </c>
    </row>
    <row r="8" spans="1:8">
      <c r="A8" s="2" t="s">
        <v>14</v>
      </c>
      <c r="B8">
        <v>1.63</v>
      </c>
      <c r="C8">
        <v>1.6</v>
      </c>
      <c r="D8">
        <v>1.55</v>
      </c>
      <c r="E8">
        <v>1.54</v>
      </c>
      <c r="F8">
        <v>1.47</v>
      </c>
      <c r="G8">
        <v>1.51</v>
      </c>
      <c r="H8">
        <v>1.51</v>
      </c>
    </row>
    <row r="9" spans="1:8">
      <c r="A9" s="2" t="s">
        <v>15</v>
      </c>
      <c r="B9">
        <v>1.56</v>
      </c>
      <c r="C9">
        <v>1.58</v>
      </c>
      <c r="D9">
        <v>1.48</v>
      </c>
      <c r="E9">
        <v>1.46</v>
      </c>
      <c r="F9">
        <v>1.4</v>
      </c>
      <c r="G9">
        <v>1.47</v>
      </c>
      <c r="H9">
        <v>1.47</v>
      </c>
    </row>
    <row r="10" spans="1:8">
      <c r="A10" s="2" t="s">
        <v>16</v>
      </c>
      <c r="B10">
        <v>1.57</v>
      </c>
      <c r="C10">
        <v>1.55</v>
      </c>
      <c r="D10">
        <v>1.52</v>
      </c>
      <c r="E10">
        <v>1.51</v>
      </c>
      <c r="F10">
        <v>1.42</v>
      </c>
      <c r="G10">
        <v>1.5</v>
      </c>
      <c r="H10">
        <v>1.48</v>
      </c>
    </row>
    <row r="11" spans="1:8">
      <c r="A11" s="2" t="s">
        <v>17</v>
      </c>
      <c r="B11">
        <v>1.61</v>
      </c>
      <c r="C11">
        <v>1.58</v>
      </c>
      <c r="D11">
        <v>1.55</v>
      </c>
      <c r="E11">
        <v>1.57</v>
      </c>
      <c r="F11">
        <v>1.46</v>
      </c>
      <c r="G11">
        <v>1.49</v>
      </c>
      <c r="H11">
        <v>1.44</v>
      </c>
    </row>
    <row r="12" spans="1:8">
      <c r="A12" s="2" t="s">
        <v>18</v>
      </c>
      <c r="B12">
        <v>1.61</v>
      </c>
      <c r="C12">
        <v>1.62</v>
      </c>
      <c r="D12">
        <v>1.64</v>
      </c>
      <c r="E12">
        <v>1.61</v>
      </c>
      <c r="F12">
        <v>1.54</v>
      </c>
      <c r="G12">
        <v>1.52</v>
      </c>
      <c r="H12">
        <v>1.47</v>
      </c>
    </row>
    <row r="13" spans="1:8">
      <c r="A13" s="2" t="s">
        <v>19</v>
      </c>
      <c r="B13">
        <v>1.66</v>
      </c>
      <c r="C13">
        <v>1.67</v>
      </c>
      <c r="D13">
        <v>1.65</v>
      </c>
      <c r="E13">
        <v>1.61</v>
      </c>
      <c r="F13">
        <v>1.57</v>
      </c>
      <c r="G13">
        <v>1.53</v>
      </c>
      <c r="H13">
        <v>1.49</v>
      </c>
    </row>
    <row r="14" spans="1:8">
      <c r="A14" s="2" t="s">
        <v>20</v>
      </c>
      <c r="B14">
        <v>1.63</v>
      </c>
      <c r="C14">
        <v>1.66</v>
      </c>
      <c r="D14">
        <v>1.69</v>
      </c>
      <c r="E14">
        <v>1.65</v>
      </c>
      <c r="F14">
        <v>1.56</v>
      </c>
      <c r="G14">
        <v>1.55</v>
      </c>
      <c r="H14">
        <v>1.53</v>
      </c>
    </row>
    <row r="15" spans="1:8">
      <c r="A15" s="2" t="s">
        <v>21</v>
      </c>
      <c r="B15">
        <v>1.63</v>
      </c>
      <c r="C15">
        <v>1.61</v>
      </c>
      <c r="D15">
        <v>1.61</v>
      </c>
      <c r="E15">
        <v>1.64</v>
      </c>
      <c r="F15">
        <v>1.6</v>
      </c>
      <c r="G15">
        <v>1.53</v>
      </c>
      <c r="H15">
        <v>1.52</v>
      </c>
    </row>
    <row r="16" spans="1:8">
      <c r="A16" s="2" t="s">
        <v>22</v>
      </c>
      <c r="B16">
        <v>1.61</v>
      </c>
      <c r="C16">
        <v>1.68</v>
      </c>
      <c r="D16">
        <v>1.62</v>
      </c>
      <c r="E16">
        <v>1.61</v>
      </c>
      <c r="F16">
        <v>1.55</v>
      </c>
      <c r="G16">
        <v>1.5</v>
      </c>
      <c r="H16">
        <v>1.56</v>
      </c>
    </row>
    <row r="17" spans="1:8">
      <c r="A17" s="2" t="s">
        <v>23</v>
      </c>
      <c r="B17">
        <v>1.58</v>
      </c>
      <c r="C17">
        <v>1.58</v>
      </c>
      <c r="D17">
        <v>1.6</v>
      </c>
      <c r="E17">
        <v>1.58</v>
      </c>
      <c r="F17">
        <v>1.5</v>
      </c>
      <c r="G17">
        <v>1.54</v>
      </c>
      <c r="H17">
        <v>1.53</v>
      </c>
    </row>
    <row r="18" spans="1:8">
      <c r="A18" s="2" t="s">
        <v>24</v>
      </c>
      <c r="B18">
        <v>1.57</v>
      </c>
      <c r="C18">
        <v>1.59</v>
      </c>
      <c r="D18">
        <v>1.52</v>
      </c>
      <c r="E18">
        <v>1.51</v>
      </c>
      <c r="F18">
        <v>1.44</v>
      </c>
      <c r="G18">
        <v>1.47</v>
      </c>
      <c r="H18">
        <v>1.5</v>
      </c>
    </row>
    <row r="19" spans="1:8">
      <c r="A19" s="2" t="s">
        <v>25</v>
      </c>
      <c r="B19">
        <v>1.48</v>
      </c>
      <c r="C19">
        <v>1.52</v>
      </c>
      <c r="D19">
        <v>1.42</v>
      </c>
      <c r="E19">
        <v>1.44</v>
      </c>
      <c r="F19">
        <v>1.38</v>
      </c>
      <c r="G19">
        <v>1.39</v>
      </c>
      <c r="H19">
        <v>1.44</v>
      </c>
    </row>
    <row r="20" spans="1:8">
      <c r="A20" s="2" t="s">
        <v>26</v>
      </c>
      <c r="B20">
        <v>1.49</v>
      </c>
      <c r="C20">
        <v>1.49</v>
      </c>
      <c r="D20">
        <v>1.45</v>
      </c>
      <c r="E20">
        <v>1.42</v>
      </c>
      <c r="F20">
        <v>1.35</v>
      </c>
      <c r="G20">
        <v>1.4</v>
      </c>
      <c r="H20">
        <v>1.41</v>
      </c>
    </row>
    <row r="21" spans="1:8">
      <c r="A21" s="2" t="s">
        <v>27</v>
      </c>
      <c r="B21">
        <v>1.48</v>
      </c>
      <c r="C21">
        <v>1.46</v>
      </c>
      <c r="D21">
        <v>1.46</v>
      </c>
      <c r="E21">
        <v>1.4</v>
      </c>
      <c r="F21">
        <v>1.29</v>
      </c>
      <c r="G21">
        <v>1.32</v>
      </c>
      <c r="H21">
        <v>1.35</v>
      </c>
    </row>
    <row r="22" spans="1:8">
      <c r="A22" s="2" t="s">
        <v>28</v>
      </c>
      <c r="B22">
        <v>1.45</v>
      </c>
      <c r="C22">
        <v>1.47</v>
      </c>
      <c r="D22">
        <v>1.43</v>
      </c>
      <c r="E22">
        <v>1.39</v>
      </c>
      <c r="F22">
        <v>1.26</v>
      </c>
      <c r="G22">
        <v>1.27</v>
      </c>
      <c r="H22">
        <v>1.35</v>
      </c>
    </row>
    <row r="23" spans="1:8">
      <c r="A23" s="2" t="s">
        <v>29</v>
      </c>
      <c r="B23">
        <v>1.46</v>
      </c>
      <c r="C23">
        <v>1.46</v>
      </c>
      <c r="D23">
        <v>1.45</v>
      </c>
      <c r="E23">
        <v>1.36</v>
      </c>
      <c r="F23">
        <v>1.22</v>
      </c>
      <c r="G23">
        <v>1.27</v>
      </c>
      <c r="H23">
        <v>1.35</v>
      </c>
    </row>
    <row r="24" spans="1:8">
      <c r="A24" s="2" t="s">
        <v>30</v>
      </c>
      <c r="B24">
        <v>1.46</v>
      </c>
      <c r="C24">
        <v>1.48</v>
      </c>
      <c r="D24">
        <v>1.43</v>
      </c>
      <c r="E24">
        <v>1.41</v>
      </c>
      <c r="F24">
        <v>1.25</v>
      </c>
      <c r="G24">
        <v>1.33</v>
      </c>
      <c r="H24">
        <v>1.37</v>
      </c>
    </row>
    <row r="25" spans="1:8">
      <c r="A25" s="2" t="s">
        <v>31</v>
      </c>
      <c r="B25">
        <v>1.49</v>
      </c>
      <c r="C25">
        <v>1.52</v>
      </c>
      <c r="D25">
        <v>1.47</v>
      </c>
      <c r="E25">
        <v>1.43</v>
      </c>
      <c r="F25">
        <v>1.26</v>
      </c>
      <c r="G25">
        <v>1.33</v>
      </c>
      <c r="H25">
        <v>1.38</v>
      </c>
    </row>
    <row r="26" spans="1:8">
      <c r="A26" s="2" t="s">
        <v>32</v>
      </c>
      <c r="B26">
        <v>1.57</v>
      </c>
      <c r="C26">
        <v>1.54</v>
      </c>
      <c r="D26">
        <v>1.53</v>
      </c>
      <c r="E26">
        <v>1.48</v>
      </c>
      <c r="F26">
        <v>1.34</v>
      </c>
      <c r="G26">
        <v>1.41</v>
      </c>
      <c r="H26">
        <v>1.41</v>
      </c>
    </row>
    <row r="27" spans="1:8">
      <c r="A27" s="2" t="s">
        <v>33</v>
      </c>
      <c r="B27">
        <v>1.58</v>
      </c>
      <c r="C27">
        <v>1.57</v>
      </c>
      <c r="D27">
        <v>1.56</v>
      </c>
      <c r="E27">
        <v>1.51</v>
      </c>
      <c r="F27">
        <v>1.37</v>
      </c>
      <c r="G27">
        <v>1.43</v>
      </c>
      <c r="H27">
        <v>1.5</v>
      </c>
    </row>
    <row r="28" spans="1:8">
      <c r="A28" s="2" t="s">
        <v>34</v>
      </c>
      <c r="B28">
        <v>1.56</v>
      </c>
      <c r="C28">
        <v>1.66</v>
      </c>
      <c r="D28">
        <v>1.67</v>
      </c>
      <c r="E28">
        <v>1.57</v>
      </c>
      <c r="F28">
        <v>1.43</v>
      </c>
      <c r="G28">
        <v>1.47</v>
      </c>
      <c r="H28">
        <v>1.53</v>
      </c>
    </row>
    <row r="29" spans="1:8">
      <c r="A29" s="2" t="s">
        <v>35</v>
      </c>
      <c r="B29">
        <v>1.58</v>
      </c>
      <c r="C29">
        <v>1.67</v>
      </c>
      <c r="D29">
        <v>1.67</v>
      </c>
      <c r="E29">
        <v>1.62</v>
      </c>
      <c r="F29">
        <v>1.49</v>
      </c>
      <c r="G29">
        <v>1.54</v>
      </c>
      <c r="H29">
        <v>1.56</v>
      </c>
    </row>
    <row r="30" spans="1:8">
      <c r="A30" s="2" t="s">
        <v>36</v>
      </c>
      <c r="B30">
        <v>1.61</v>
      </c>
      <c r="C30">
        <v>1.56</v>
      </c>
      <c r="D30">
        <v>1.6</v>
      </c>
      <c r="E30">
        <v>1.56</v>
      </c>
      <c r="F30">
        <v>1.55</v>
      </c>
      <c r="G30">
        <v>1.56</v>
      </c>
      <c r="H30">
        <v>1.58</v>
      </c>
    </row>
    <row r="31" spans="1:8">
      <c r="A31" s="2" t="s">
        <v>37</v>
      </c>
      <c r="B31">
        <v>1.59</v>
      </c>
      <c r="C31">
        <v>1.72</v>
      </c>
      <c r="D31">
        <v>1.74</v>
      </c>
      <c r="E31">
        <v>1.73</v>
      </c>
      <c r="F31">
        <v>1.57</v>
      </c>
      <c r="G31">
        <v>1.62</v>
      </c>
      <c r="H31">
        <v>1.68</v>
      </c>
    </row>
    <row r="32" spans="1:8">
      <c r="A32" s="2" t="s">
        <v>38</v>
      </c>
      <c r="B32">
        <v>1.45</v>
      </c>
      <c r="C32">
        <v>1.46</v>
      </c>
      <c r="D32">
        <v>1.48</v>
      </c>
      <c r="E32">
        <v>1.36</v>
      </c>
      <c r="F32">
        <v>1.64</v>
      </c>
      <c r="G32">
        <v>1.67</v>
      </c>
      <c r="H32">
        <v>1.24</v>
      </c>
    </row>
    <row r="33" spans="1:8">
      <c r="A33" s="2" t="s">
        <v>39</v>
      </c>
      <c r="B33">
        <v>1.45</v>
      </c>
      <c r="C33">
        <v>1.46</v>
      </c>
      <c r="D33">
        <v>1.42</v>
      </c>
      <c r="E33">
        <v>1.36</v>
      </c>
      <c r="F33">
        <v>1.59</v>
      </c>
      <c r="G33">
        <v>1.54</v>
      </c>
      <c r="H33">
        <v>1.24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FB72C-F874-4A40-BBE9-A10E83E71BDF}">
  <sheetPr codeName="Sheet3"/>
  <dimension ref="A1:E13"/>
  <sheetViews>
    <sheetView showGridLines="0" workbookViewId="0">
      <selection sqref="A1:A3"/>
    </sheetView>
  </sheetViews>
  <sheetFormatPr baseColWidth="10" defaultRowHeight="16"/>
  <cols>
    <col min="1" max="1" width="2.33203125" customWidth="1"/>
    <col min="2" max="2" width="6.1640625" bestFit="1" customWidth="1"/>
    <col min="3" max="3" width="6.6640625" bestFit="1" customWidth="1"/>
    <col min="4" max="5" width="12.1640625" bestFit="1" customWidth="1"/>
  </cols>
  <sheetData>
    <row r="1" spans="1:5">
      <c r="A1" s="3" t="s">
        <v>53</v>
      </c>
    </row>
    <row r="2" spans="1:5">
      <c r="A2" s="3" t="s">
        <v>54</v>
      </c>
    </row>
    <row r="3" spans="1:5">
      <c r="A3" s="3" t="s">
        <v>55</v>
      </c>
    </row>
    <row r="6" spans="1:5" ht="17" thickBot="1">
      <c r="A6" t="s">
        <v>56</v>
      </c>
    </row>
    <row r="7" spans="1:5">
      <c r="B7" s="6"/>
      <c r="C7" s="6"/>
      <c r="D7" s="6" t="s">
        <v>59</v>
      </c>
      <c r="E7" s="6" t="s">
        <v>61</v>
      </c>
    </row>
    <row r="8" spans="1:5" ht="17" thickBot="1">
      <c r="B8" s="7" t="s">
        <v>57</v>
      </c>
      <c r="C8" s="7" t="s">
        <v>58</v>
      </c>
      <c r="D8" s="7" t="s">
        <v>60</v>
      </c>
      <c r="E8" s="7" t="s">
        <v>62</v>
      </c>
    </row>
    <row r="9" spans="1:5">
      <c r="B9" s="4" t="s">
        <v>65</v>
      </c>
      <c r="C9" s="4" t="s">
        <v>52</v>
      </c>
      <c r="D9" s="4">
        <v>28.846153846153847</v>
      </c>
      <c r="E9" s="4">
        <v>80.000001488755288</v>
      </c>
    </row>
    <row r="10" spans="1:5" ht="17" thickBot="1">
      <c r="B10" s="5" t="s">
        <v>66</v>
      </c>
      <c r="C10" s="5" t="s">
        <v>52</v>
      </c>
      <c r="D10" s="5">
        <v>37.671232876712331</v>
      </c>
      <c r="E10" s="5">
        <v>70.000002771824384</v>
      </c>
    </row>
    <row r="12" spans="1:5">
      <c r="A12" t="s">
        <v>63</v>
      </c>
    </row>
    <row r="13" spans="1:5">
      <c r="B13" t="s">
        <v>64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ED72E-FCDD-A444-8471-7DB8519C5A6C}">
  <sheetPr codeName="Sheet6"/>
  <dimension ref="A1:AB61"/>
  <sheetViews>
    <sheetView tabSelected="1" topLeftCell="A20" workbookViewId="0">
      <selection activeCell="P36" sqref="P36"/>
    </sheetView>
  </sheetViews>
  <sheetFormatPr baseColWidth="10" defaultRowHeight="17"/>
  <cols>
    <col min="1" max="1" width="13.33203125" style="8" bestFit="1" customWidth="1"/>
    <col min="2" max="2" width="13.1640625" style="8" bestFit="1" customWidth="1"/>
    <col min="3" max="3" width="9.33203125" style="17" customWidth="1"/>
    <col min="4" max="4" width="11.5" style="8" bestFit="1" customWidth="1"/>
    <col min="5" max="5" width="13.1640625" style="8" bestFit="1" customWidth="1"/>
    <col min="6" max="6" width="13" style="17" bestFit="1" customWidth="1"/>
    <col min="7" max="7" width="9.33203125" style="8" customWidth="1"/>
    <col min="8" max="8" width="8.6640625" style="8" bestFit="1" customWidth="1"/>
    <col min="9" max="9" width="14" style="17" bestFit="1" customWidth="1"/>
    <col min="10" max="10" width="13.33203125" style="8" bestFit="1" customWidth="1"/>
    <col min="11" max="11" width="9.33203125" style="8" customWidth="1"/>
    <col min="12" max="12" width="9.33203125" style="17" bestFit="1" customWidth="1"/>
    <col min="13" max="13" width="13.33203125" style="8" bestFit="1" customWidth="1"/>
    <col min="14" max="14" width="13.1640625" style="8" bestFit="1" customWidth="1"/>
    <col min="15" max="15" width="9.33203125" style="17" customWidth="1"/>
    <col min="16" max="16" width="8.6640625" style="8" bestFit="1" customWidth="1"/>
    <col min="17" max="17" width="13.1640625" style="8" bestFit="1" customWidth="1"/>
    <col min="18" max="18" width="13" style="17" bestFit="1" customWidth="1"/>
    <col min="19" max="19" width="9.33203125" style="8" customWidth="1"/>
    <col min="20" max="20" width="8.6640625" style="8" bestFit="1" customWidth="1"/>
    <col min="21" max="21" width="13.1640625" style="17" bestFit="1" customWidth="1"/>
    <col min="22" max="22" width="13" style="8" bestFit="1" customWidth="1"/>
    <col min="23" max="23" width="9.33203125" style="8" customWidth="1"/>
    <col min="24" max="24" width="8.6640625" style="8" bestFit="1" customWidth="1"/>
    <col min="25" max="25" width="13.1640625" style="8" bestFit="1" customWidth="1"/>
    <col min="26" max="26" width="13" style="8" bestFit="1" customWidth="1"/>
    <col min="27" max="27" width="9.33203125" style="8" customWidth="1"/>
    <col min="28" max="28" width="8.6640625" style="8" bestFit="1" customWidth="1"/>
    <col min="29" max="16384" width="10.83203125" style="8"/>
  </cols>
  <sheetData>
    <row r="1" spans="1:28">
      <c r="A1" s="43" t="s">
        <v>48</v>
      </c>
      <c r="B1" s="44"/>
      <c r="C1" s="44"/>
      <c r="D1" s="45"/>
      <c r="E1" s="43" t="s">
        <v>72</v>
      </c>
      <c r="F1" s="44"/>
      <c r="G1" s="44"/>
      <c r="H1" s="45"/>
      <c r="I1" s="43" t="s">
        <v>71</v>
      </c>
      <c r="J1" s="44"/>
      <c r="K1" s="44"/>
      <c r="L1" s="45"/>
      <c r="M1" s="43" t="s">
        <v>70</v>
      </c>
      <c r="N1" s="44"/>
      <c r="O1" s="44"/>
      <c r="P1" s="45"/>
      <c r="Q1" s="43" t="s">
        <v>69</v>
      </c>
      <c r="R1" s="44"/>
      <c r="S1" s="44"/>
      <c r="T1" s="45"/>
      <c r="U1" s="43" t="s">
        <v>68</v>
      </c>
      <c r="V1" s="44"/>
      <c r="W1" s="44"/>
      <c r="X1" s="45"/>
      <c r="Y1" s="43" t="s">
        <v>67</v>
      </c>
      <c r="Z1" s="44"/>
      <c r="AA1" s="44"/>
      <c r="AB1" s="45"/>
    </row>
    <row r="2" spans="1:28">
      <c r="A2" s="9" t="s">
        <v>49</v>
      </c>
      <c r="B2" s="10" t="s">
        <v>50</v>
      </c>
      <c r="C2" s="10" t="s">
        <v>51</v>
      </c>
      <c r="D2" s="10" t="s">
        <v>52</v>
      </c>
      <c r="E2" s="9" t="s">
        <v>75</v>
      </c>
      <c r="F2" s="10" t="s">
        <v>80</v>
      </c>
      <c r="G2" s="10" t="s">
        <v>85</v>
      </c>
      <c r="H2" s="10" t="s">
        <v>88</v>
      </c>
      <c r="I2" s="30" t="s">
        <v>96</v>
      </c>
      <c r="J2" s="30" t="s">
        <v>84</v>
      </c>
      <c r="K2" s="30" t="s">
        <v>87</v>
      </c>
      <c r="L2" s="30" t="s">
        <v>89</v>
      </c>
      <c r="M2" s="30" t="s">
        <v>99</v>
      </c>
      <c r="N2" s="30" t="s">
        <v>97</v>
      </c>
      <c r="O2" s="30" t="s">
        <v>90</v>
      </c>
      <c r="P2" s="30" t="s">
        <v>76</v>
      </c>
      <c r="Q2" s="30" t="s">
        <v>77</v>
      </c>
      <c r="R2" s="30" t="s">
        <v>100</v>
      </c>
      <c r="S2" s="30" t="s">
        <v>91</v>
      </c>
      <c r="T2" s="30" t="s">
        <v>94</v>
      </c>
      <c r="U2" s="30" t="s">
        <v>95</v>
      </c>
      <c r="V2" s="30" t="s">
        <v>78</v>
      </c>
      <c r="W2" s="30" t="s">
        <v>92</v>
      </c>
      <c r="X2" s="30" t="s">
        <v>98</v>
      </c>
      <c r="Y2" s="30" t="s">
        <v>101</v>
      </c>
      <c r="Z2" s="30" t="s">
        <v>86</v>
      </c>
      <c r="AA2" s="30" t="s">
        <v>93</v>
      </c>
      <c r="AB2" s="30" t="s">
        <v>79</v>
      </c>
    </row>
    <row r="3" spans="1:28">
      <c r="A3" s="33">
        <v>0.35416666666666669</v>
      </c>
      <c r="B3" s="33">
        <v>0.5625</v>
      </c>
      <c r="C3" s="31">
        <f>(Table1[[#This Row],[end]]-Table1[[#This Row],[start]])*24</f>
        <v>5</v>
      </c>
      <c r="D3" s="15">
        <v>2.3529411764705883</v>
      </c>
      <c r="E3" s="11">
        <v>0.33333333333333331</v>
      </c>
      <c r="F3" s="12">
        <v>0.625</v>
      </c>
      <c r="G3" s="31">
        <f>(Table1[[#This Row],[end2]]-Table1[[#This Row],[start2]])*24</f>
        <v>7</v>
      </c>
      <c r="H3" s="15">
        <v>2.2346368715083798</v>
      </c>
      <c r="I3" s="11">
        <v>0.33333333333333331</v>
      </c>
      <c r="J3" s="12">
        <v>0.625</v>
      </c>
      <c r="K3" s="31">
        <f>(Table1[[#This Row],[end3]]-Table1[[#This Row],[start3]])*24</f>
        <v>7</v>
      </c>
      <c r="L3" s="15">
        <v>3.125</v>
      </c>
      <c r="M3" s="11">
        <v>0.33333333333333331</v>
      </c>
      <c r="N3" s="12">
        <v>0.625</v>
      </c>
      <c r="O3" s="31">
        <f>(Table1[[#This Row],[end4]]-Table1[[#This Row],[start4]])*24</f>
        <v>7</v>
      </c>
      <c r="P3" s="15">
        <v>4.0697674418604652</v>
      </c>
      <c r="Q3" s="11">
        <v>0.33333333333333331</v>
      </c>
      <c r="R3" s="12">
        <v>0.625</v>
      </c>
      <c r="S3" s="31">
        <f>(Table1[[#This Row],[end5]]-Table1[[#This Row],[start5]])*24</f>
        <v>7</v>
      </c>
      <c r="T3" s="15">
        <v>5.1948051948051948</v>
      </c>
      <c r="U3" s="11">
        <v>0.33333333333333331</v>
      </c>
      <c r="V3" s="12">
        <v>0.625</v>
      </c>
      <c r="W3" s="31">
        <f>(Table1[[#This Row],[end6]]-Table1[[#This Row],[start6]])*24</f>
        <v>7</v>
      </c>
      <c r="X3" s="15">
        <v>4.761904761904761</v>
      </c>
      <c r="Y3" s="11">
        <v>0.33333333333333331</v>
      </c>
      <c r="Z3" s="12">
        <v>0.625</v>
      </c>
      <c r="AA3" s="31">
        <f>(Table1[[#This Row],[end7]]-Table1[[#This Row],[start7]])*24</f>
        <v>7</v>
      </c>
      <c r="AB3" s="15">
        <v>4.3478260869565215</v>
      </c>
    </row>
    <row r="4" spans="1:28">
      <c r="A4" s="33">
        <v>0.39583333333333331</v>
      </c>
      <c r="B4" s="33">
        <v>0.60416666666666663</v>
      </c>
      <c r="C4" s="31">
        <f>(Table1[[#This Row],[end]]-Table1[[#This Row],[start]])*24</f>
        <v>5</v>
      </c>
      <c r="D4" s="15">
        <v>5.0322639923081605</v>
      </c>
      <c r="E4" s="11">
        <v>0.41666666666666669</v>
      </c>
      <c r="F4" s="12">
        <v>0.625</v>
      </c>
      <c r="G4" s="31">
        <f>(Table1[[#This Row],[end2]]-Table1[[#This Row],[start2]])*24</f>
        <v>5</v>
      </c>
      <c r="H4" s="15">
        <v>15.304477044741724</v>
      </c>
      <c r="I4" s="11">
        <v>0.41666666666666669</v>
      </c>
      <c r="J4" s="12">
        <v>0.625</v>
      </c>
      <c r="K4" s="31">
        <f>(Table1[[#This Row],[end3]]-Table1[[#This Row],[start3]])*24</f>
        <v>5</v>
      </c>
      <c r="L4" s="15">
        <v>17.628462568412488</v>
      </c>
      <c r="M4" s="11">
        <v>0.41666666666666669</v>
      </c>
      <c r="N4" s="12">
        <v>0.625</v>
      </c>
      <c r="O4" s="31">
        <f>(Table1[[#This Row],[end4]]-Table1[[#This Row],[start4]])*24</f>
        <v>5</v>
      </c>
      <c r="P4" s="15">
        <v>19.15716925920222</v>
      </c>
      <c r="Q4" s="11">
        <v>0.41666666666666669</v>
      </c>
      <c r="R4" s="12">
        <v>0.625</v>
      </c>
      <c r="S4" s="31">
        <f>(Table1[[#This Row],[end5]]-Table1[[#This Row],[start5]])*24</f>
        <v>5</v>
      </c>
      <c r="T4" s="15">
        <v>22.078788004619902</v>
      </c>
      <c r="U4" s="11">
        <v>0.41666666666666669</v>
      </c>
      <c r="V4" s="12">
        <v>0.625</v>
      </c>
      <c r="W4" s="31">
        <f>(Table1[[#This Row],[end6]]-Table1[[#This Row],[start6]])*24</f>
        <v>5</v>
      </c>
      <c r="X4" s="15">
        <v>4.1422048271363359</v>
      </c>
      <c r="Y4" s="11">
        <v>0.41666666666666669</v>
      </c>
      <c r="Z4" s="12">
        <v>0.625</v>
      </c>
      <c r="AA4" s="31">
        <f>(Table1[[#This Row],[end7]]-Table1[[#This Row],[start7]])*24</f>
        <v>5</v>
      </c>
      <c r="AB4" s="15">
        <v>14.9426124613212</v>
      </c>
    </row>
    <row r="5" spans="1:28">
      <c r="A5" s="33">
        <v>0.4375</v>
      </c>
      <c r="B5" s="33">
        <v>0.64583333333333337</v>
      </c>
      <c r="C5" s="31">
        <f>(Table1[[#This Row],[end]]-Table1[[#This Row],[start]])*24</f>
        <v>5.0000000000000009</v>
      </c>
      <c r="D5" s="15">
        <v>5.3549688322082014</v>
      </c>
      <c r="E5" s="11">
        <v>0.45833333333333331</v>
      </c>
      <c r="F5" s="12">
        <v>0.66666666666666663</v>
      </c>
      <c r="G5" s="31">
        <f>(Table1[[#This Row],[end2]]-Table1[[#This Row],[start2]])*24</f>
        <v>5</v>
      </c>
      <c r="H5" s="15">
        <v>15.372278488813183</v>
      </c>
      <c r="I5" s="11">
        <v>0.45833333333333331</v>
      </c>
      <c r="J5" s="12">
        <v>0.66666666666666663</v>
      </c>
      <c r="K5" s="31">
        <f>(Table1[[#This Row],[end3]]-Table1[[#This Row],[start3]])*24</f>
        <v>5</v>
      </c>
      <c r="L5" s="15">
        <v>17.760050945101014</v>
      </c>
      <c r="M5" s="11">
        <v>0.45833333333333331</v>
      </c>
      <c r="N5" s="12">
        <v>0.66666666666666663</v>
      </c>
      <c r="O5" s="31">
        <f>(Table1[[#This Row],[end4]]-Table1[[#This Row],[start4]])*24</f>
        <v>5</v>
      </c>
      <c r="P5" s="15">
        <v>19.15716925920222</v>
      </c>
      <c r="Q5" s="11">
        <v>0.45833333333333331</v>
      </c>
      <c r="R5" s="12">
        <v>0.66666666666666663</v>
      </c>
      <c r="S5" s="31">
        <f>(Table1[[#This Row],[end5]]-Table1[[#This Row],[start5]])*24</f>
        <v>5</v>
      </c>
      <c r="T5" s="15">
        <v>22.012121086289191</v>
      </c>
      <c r="U5" s="11">
        <v>0.45833333333333331</v>
      </c>
      <c r="V5" s="12">
        <v>0.66666666666666663</v>
      </c>
      <c r="W5" s="31">
        <f>(Table1[[#This Row],[end6]]-Table1[[#This Row],[start6]])*24</f>
        <v>5</v>
      </c>
      <c r="X5" s="15">
        <v>23.98179645122736</v>
      </c>
      <c r="Y5" s="11">
        <v>0.45833333333333331</v>
      </c>
      <c r="Z5" s="12">
        <v>0.66666666666666663</v>
      </c>
      <c r="AA5" s="31">
        <f>(Table1[[#This Row],[end7]]-Table1[[#This Row],[start7]])*24</f>
        <v>5</v>
      </c>
      <c r="AB5" s="15">
        <v>15.431783673944501</v>
      </c>
    </row>
    <row r="6" spans="1:28">
      <c r="A6" s="33">
        <v>0.45833333333333331</v>
      </c>
      <c r="B6" s="33">
        <v>0.66666666666666663</v>
      </c>
      <c r="C6" s="31">
        <f>(Table1[[#This Row],[end]]-Table1[[#This Row],[start]])*24</f>
        <v>5</v>
      </c>
      <c r="D6" s="15">
        <v>5.2779543674598921</v>
      </c>
      <c r="E6" s="11">
        <v>0.625</v>
      </c>
      <c r="F6" s="12">
        <v>1.0302083333333334</v>
      </c>
      <c r="G6" s="31">
        <f>(Table1[[#This Row],[end2]]-Table1[[#This Row],[start2]])*24</f>
        <v>9.7250000000000014</v>
      </c>
      <c r="H6" s="15">
        <v>0</v>
      </c>
      <c r="I6" s="11">
        <v>0.625</v>
      </c>
      <c r="J6" s="12">
        <v>0.89583333333333337</v>
      </c>
      <c r="K6" s="31">
        <f>(Table1[[#This Row],[end3]]-Table1[[#This Row],[start3]])*24</f>
        <v>6.5000000000000009</v>
      </c>
      <c r="L6" s="15">
        <v>22.998141647739004</v>
      </c>
      <c r="M6" s="11">
        <v>0.625</v>
      </c>
      <c r="N6" s="12">
        <v>0.89583333333333337</v>
      </c>
      <c r="O6" s="31">
        <f>(Table1[[#This Row],[end4]]-Table1[[#This Row],[start4]])*24</f>
        <v>6.5000000000000009</v>
      </c>
      <c r="P6" s="15">
        <v>24.836601307189536</v>
      </c>
      <c r="Q6" s="11">
        <v>0.625</v>
      </c>
      <c r="R6" s="12">
        <v>0.89583333333333337</v>
      </c>
      <c r="S6" s="31">
        <f>(Table1[[#This Row],[end5]]-Table1[[#This Row],[start5]])*24</f>
        <v>6.5000000000000009</v>
      </c>
      <c r="T6" s="15">
        <v>29.927516778523486</v>
      </c>
      <c r="U6" s="11">
        <v>0.625</v>
      </c>
      <c r="V6" s="12">
        <v>0.89583333333333337</v>
      </c>
      <c r="W6" s="31">
        <f>(Table1[[#This Row],[end6]]-Table1[[#This Row],[start6]])*24</f>
        <v>6.5000000000000009</v>
      </c>
      <c r="X6" s="15">
        <v>34.00654463646589</v>
      </c>
      <c r="Y6" s="11">
        <v>0.625</v>
      </c>
      <c r="Z6" s="12">
        <v>0.89583333333333337</v>
      </c>
      <c r="AA6" s="31">
        <f>(Table1[[#This Row],[end7]]-Table1[[#This Row],[start7]])*24</f>
        <v>6.5000000000000009</v>
      </c>
      <c r="AB6" s="15">
        <v>26.951566951566946</v>
      </c>
    </row>
    <row r="7" spans="1:28">
      <c r="A7" s="33">
        <v>0.47916666666666669</v>
      </c>
      <c r="B7" s="33">
        <v>0.6875</v>
      </c>
      <c r="C7" s="31">
        <f>(Table1[[#This Row],[end]]-Table1[[#This Row],[start]])*24</f>
        <v>5</v>
      </c>
      <c r="D7" s="15">
        <v>10.828025477707005</v>
      </c>
      <c r="E7" s="11">
        <v>0.66666666666666663</v>
      </c>
      <c r="F7" s="12">
        <v>0.95833333333333337</v>
      </c>
      <c r="G7" s="31">
        <f>(Table1[[#This Row],[end2]]-Table1[[#This Row],[start2]])*24</f>
        <v>7.0000000000000018</v>
      </c>
      <c r="H7" s="15">
        <v>24.657534246575342</v>
      </c>
      <c r="I7" s="11">
        <v>0.66666666666666663</v>
      </c>
      <c r="J7" s="12">
        <v>0.95833333333333337</v>
      </c>
      <c r="K7" s="31">
        <f>(Table1[[#This Row],[end3]]-Table1[[#This Row],[start3]])*24</f>
        <v>7.0000000000000018</v>
      </c>
      <c r="L7" s="15">
        <v>4.3991186262335926</v>
      </c>
      <c r="M7" s="11">
        <v>0.66666666666666663</v>
      </c>
      <c r="N7" s="12">
        <v>0.95833333333333337</v>
      </c>
      <c r="O7" s="31">
        <f>(Table1[[#This Row],[end4]]-Table1[[#This Row],[start4]])*24</f>
        <v>7.0000000000000018</v>
      </c>
      <c r="P7" s="15">
        <v>6.5919701213818911</v>
      </c>
      <c r="Q7" s="11">
        <v>0.66666666666666663</v>
      </c>
      <c r="R7" s="12">
        <v>0.95833333333333337</v>
      </c>
      <c r="S7" s="31">
        <f>(Table1[[#This Row],[end5]]-Table1[[#This Row],[start5]])*24</f>
        <v>7.0000000000000018</v>
      </c>
      <c r="T7" s="15">
        <v>6.5065917486082903</v>
      </c>
      <c r="U7" s="11">
        <v>0.66666666666666663</v>
      </c>
      <c r="V7" s="12">
        <v>0.95833333333333337</v>
      </c>
      <c r="W7" s="31">
        <f>(Table1[[#This Row],[end6]]-Table1[[#This Row],[start6]])*24</f>
        <v>7.0000000000000018</v>
      </c>
      <c r="X7" s="15">
        <v>2.3570917271704666</v>
      </c>
      <c r="Y7" s="11">
        <v>0.66666666666666663</v>
      </c>
      <c r="Z7" s="12">
        <v>0.95833333333333337</v>
      </c>
      <c r="AA7" s="31">
        <f>(Table1[[#This Row],[end7]]-Table1[[#This Row],[start7]])*24</f>
        <v>7.0000000000000018</v>
      </c>
      <c r="AB7" s="15">
        <v>15.270655270655267</v>
      </c>
    </row>
    <row r="8" spans="1:28">
      <c r="A8" s="33">
        <v>0.6875</v>
      </c>
      <c r="B8" s="33">
        <v>0.89583333333333337</v>
      </c>
      <c r="C8" s="31">
        <f>(Table1[[#This Row],[end]]-Table1[[#This Row],[start]])*24</f>
        <v>5.0000000000000009</v>
      </c>
      <c r="D8" s="15">
        <v>15.540540540540542</v>
      </c>
      <c r="E8" s="11">
        <v>0.75</v>
      </c>
      <c r="F8" s="12">
        <v>0.97916666666666663</v>
      </c>
      <c r="G8" s="31">
        <f>(Table1[[#This Row],[end2]]-Table1[[#This Row],[start2]])*24</f>
        <v>5.4999999999999991</v>
      </c>
      <c r="H8" s="15">
        <v>12.50462791558682</v>
      </c>
      <c r="I8" s="11">
        <v>0.75</v>
      </c>
      <c r="J8" s="12">
        <v>0.97916666666666663</v>
      </c>
      <c r="K8" s="31">
        <f>(Table1[[#This Row],[end3]]-Table1[[#This Row],[start3]])*24</f>
        <v>5.4999999999999991</v>
      </c>
      <c r="L8" s="15">
        <v>15.361360415682576</v>
      </c>
      <c r="M8" s="11">
        <v>0.75</v>
      </c>
      <c r="N8" s="12">
        <v>0.97916666666666663</v>
      </c>
      <c r="O8" s="31">
        <f>(Table1[[#This Row],[end4]]-Table1[[#This Row],[start4]])*24</f>
        <v>5.4999999999999991</v>
      </c>
      <c r="P8" s="15">
        <v>15.63025210084033</v>
      </c>
      <c r="Q8" s="11">
        <v>0.75</v>
      </c>
      <c r="R8" s="12">
        <v>0.97916666666666663</v>
      </c>
      <c r="S8" s="31">
        <f>(Table1[[#This Row],[end5]]-Table1[[#This Row],[start5]])*24</f>
        <v>5.4999999999999991</v>
      </c>
      <c r="T8" s="15">
        <v>24.365891472868221</v>
      </c>
      <c r="U8" s="11">
        <v>0.75</v>
      </c>
      <c r="V8" s="12">
        <v>0.97916666666666663</v>
      </c>
      <c r="W8" s="31">
        <f>(Table1[[#This Row],[end6]]-Table1[[#This Row],[start6]])*24</f>
        <v>5.4999999999999991</v>
      </c>
      <c r="X8" s="15">
        <v>24.266284896206155</v>
      </c>
      <c r="Y8" s="11">
        <v>0.75</v>
      </c>
      <c r="Z8" s="12">
        <v>0.97916666666666663</v>
      </c>
      <c r="AA8" s="31">
        <f>(Table1[[#This Row],[end7]]-Table1[[#This Row],[start7]])*24</f>
        <v>5.4999999999999991</v>
      </c>
      <c r="AB8" s="15">
        <v>10.370370370370374</v>
      </c>
    </row>
    <row r="9" spans="1:28">
      <c r="A9" s="33">
        <v>0.70833333333333337</v>
      </c>
      <c r="B9" s="33">
        <v>0.91666666666666663</v>
      </c>
      <c r="C9" s="31">
        <f>(Table1[[#This Row],[end]]-Table1[[#This Row],[start]])*24</f>
        <v>4.9999999999999982</v>
      </c>
      <c r="D9" s="15">
        <v>4.9849440503671527</v>
      </c>
      <c r="E9" s="12"/>
      <c r="F9" s="12"/>
      <c r="G9" s="31">
        <f>(Table1[[#This Row],[end2]]-Table1[[#This Row],[start2]])*24</f>
        <v>0</v>
      </c>
      <c r="H9" s="15">
        <v>0</v>
      </c>
      <c r="I9" s="12"/>
      <c r="J9" s="12"/>
      <c r="K9" s="31">
        <f>(Table1[[#This Row],[end3]]-Table1[[#This Row],[start3]])*24</f>
        <v>0</v>
      </c>
      <c r="L9" s="15">
        <v>0</v>
      </c>
      <c r="M9" s="12"/>
      <c r="N9" s="12"/>
      <c r="O9" s="31">
        <f>(Table1[[#This Row],[end4]]-Table1[[#This Row],[start4]])*24</f>
        <v>0</v>
      </c>
      <c r="P9" s="15">
        <v>0</v>
      </c>
      <c r="Q9" s="12"/>
      <c r="R9" s="12"/>
      <c r="S9" s="31">
        <f>(Table1[[#This Row],[end5]]-Table1[[#This Row],[start5]])*24</f>
        <v>0</v>
      </c>
      <c r="T9" s="15">
        <v>0</v>
      </c>
      <c r="U9" s="12"/>
      <c r="V9" s="12"/>
      <c r="W9" s="31">
        <f>(Table1[[#This Row],[end6]]-Table1[[#This Row],[start6]])*24</f>
        <v>0</v>
      </c>
      <c r="X9" s="15">
        <v>0</v>
      </c>
      <c r="Y9" s="12"/>
      <c r="Z9" s="12"/>
      <c r="AA9" s="31">
        <f>(Table1[[#This Row],[end7]]-Table1[[#This Row],[start7]])*24</f>
        <v>0</v>
      </c>
      <c r="AB9" s="15">
        <v>0</v>
      </c>
    </row>
    <row r="10" spans="1:28">
      <c r="A10" s="33">
        <v>0.72916666666666663</v>
      </c>
      <c r="B10" s="33">
        <v>0.9375</v>
      </c>
      <c r="C10" s="31">
        <f>(Table1[[#This Row],[end]]-Table1[[#This Row],[start]])*24</f>
        <v>5.0000000000000009</v>
      </c>
      <c r="D10" s="15">
        <v>5.1697814098852515</v>
      </c>
      <c r="E10" s="12"/>
      <c r="F10" s="12"/>
      <c r="G10" s="31">
        <f>(Table1[[#This Row],[end2]]-Table1[[#This Row],[start2]])*24</f>
        <v>0</v>
      </c>
      <c r="H10" s="15">
        <v>0</v>
      </c>
      <c r="I10" s="12"/>
      <c r="J10" s="12"/>
      <c r="K10" s="31">
        <f>(Table1[[#This Row],[end3]]-Table1[[#This Row],[start3]])*24</f>
        <v>0</v>
      </c>
      <c r="L10" s="15">
        <v>0</v>
      </c>
      <c r="M10" s="12"/>
      <c r="N10" s="12"/>
      <c r="O10" s="31">
        <f>(Table1[[#This Row],[end4]]-Table1[[#This Row],[start4]])*24</f>
        <v>0</v>
      </c>
      <c r="P10" s="15">
        <v>0</v>
      </c>
      <c r="Q10" s="12"/>
      <c r="R10" s="12"/>
      <c r="S10" s="31">
        <f>(Table1[[#This Row],[end5]]-Table1[[#This Row],[start5]])*24</f>
        <v>0</v>
      </c>
      <c r="T10" s="15">
        <v>0</v>
      </c>
      <c r="U10" s="12"/>
      <c r="V10" s="12"/>
      <c r="W10" s="31">
        <f>(Table1[[#This Row],[end6]]-Table1[[#This Row],[start6]])*24</f>
        <v>0</v>
      </c>
      <c r="X10" s="15">
        <v>0</v>
      </c>
      <c r="Y10" s="12"/>
      <c r="Z10" s="12"/>
      <c r="AA10" s="31">
        <f>(Table1[[#This Row],[end7]]-Table1[[#This Row],[start7]])*24</f>
        <v>0</v>
      </c>
      <c r="AB10" s="15">
        <v>0</v>
      </c>
    </row>
    <row r="11" spans="1:28">
      <c r="A11" s="33">
        <v>0.75</v>
      </c>
      <c r="B11" s="33">
        <v>0.95833333333333337</v>
      </c>
      <c r="C11" s="31">
        <f>(Table1[[#This Row],[end]]-Table1[[#This Row],[start]])*24</f>
        <v>5.0000000000000009</v>
      </c>
      <c r="D11" s="15">
        <v>5.3392167578277441</v>
      </c>
      <c r="E11" s="12"/>
      <c r="F11" s="12"/>
      <c r="G11" s="31">
        <f>(Table1[[#This Row],[end2]]-Table1[[#This Row],[start2]])*24</f>
        <v>0</v>
      </c>
      <c r="H11" s="15">
        <v>0</v>
      </c>
      <c r="I11" s="12"/>
      <c r="J11" s="12"/>
      <c r="K11" s="31">
        <f>(Table1[[#This Row],[end3]]-Table1[[#This Row],[start3]])*24</f>
        <v>0</v>
      </c>
      <c r="L11" s="15">
        <v>0</v>
      </c>
      <c r="M11" s="12"/>
      <c r="N11" s="12"/>
      <c r="O11" s="31">
        <f>(Table1[[#This Row],[end4]]-Table1[[#This Row],[start4]])*24</f>
        <v>0</v>
      </c>
      <c r="P11" s="15">
        <v>0</v>
      </c>
      <c r="Q11" s="12"/>
      <c r="R11" s="12"/>
      <c r="S11" s="31">
        <f>(Table1[[#This Row],[end5]]-Table1[[#This Row],[start5]])*24</f>
        <v>0</v>
      </c>
      <c r="T11" s="15">
        <v>0</v>
      </c>
      <c r="U11" s="12"/>
      <c r="V11" s="12"/>
      <c r="W11" s="31">
        <f>(Table1[[#This Row],[end6]]-Table1[[#This Row],[start6]])*24</f>
        <v>0</v>
      </c>
      <c r="X11" s="15">
        <v>0</v>
      </c>
      <c r="Y11" s="12"/>
      <c r="Z11" s="12"/>
      <c r="AA11" s="31">
        <f>(Table1[[#This Row],[end7]]-Table1[[#This Row],[start7]])*24</f>
        <v>0</v>
      </c>
      <c r="AB11" s="15">
        <v>0</v>
      </c>
    </row>
    <row r="12" spans="1:28">
      <c r="A12" s="33">
        <v>0.77083333333333337</v>
      </c>
      <c r="B12" s="33">
        <v>0.97916666666666663</v>
      </c>
      <c r="C12" s="31">
        <f>(Table1[[#This Row],[end]]-Table1[[#This Row],[start]])*24</f>
        <v>4.9999999999999982</v>
      </c>
      <c r="D12" s="15">
        <v>6.8965517241379315</v>
      </c>
      <c r="E12" s="12"/>
      <c r="F12" s="12"/>
      <c r="G12" s="31">
        <f>(Table1[[#This Row],[end2]]-Table1[[#This Row],[start2]])*24</f>
        <v>0</v>
      </c>
      <c r="H12" s="15">
        <v>0</v>
      </c>
      <c r="I12" s="12"/>
      <c r="J12" s="12"/>
      <c r="K12" s="31">
        <f>(Table1[[#This Row],[end3]]-Table1[[#This Row],[start3]])*24</f>
        <v>0</v>
      </c>
      <c r="L12" s="15">
        <v>0</v>
      </c>
      <c r="M12" s="12"/>
      <c r="N12" s="12"/>
      <c r="O12" s="31">
        <f>(Table1[[#This Row],[end4]]-Table1[[#This Row],[start4]])*24</f>
        <v>0</v>
      </c>
      <c r="P12" s="15">
        <v>0</v>
      </c>
      <c r="Q12" s="12"/>
      <c r="R12" s="12"/>
      <c r="S12" s="31">
        <f>(Table1[[#This Row],[end5]]-Table1[[#This Row],[start5]])*24</f>
        <v>0</v>
      </c>
      <c r="T12" s="15">
        <v>0</v>
      </c>
      <c r="U12" s="12"/>
      <c r="V12" s="12"/>
      <c r="W12" s="31">
        <f>(Table1[[#This Row],[end6]]-Table1[[#This Row],[start6]])*24</f>
        <v>0</v>
      </c>
      <c r="X12" s="15">
        <v>0</v>
      </c>
      <c r="Y12" s="12"/>
      <c r="Z12" s="12"/>
      <c r="AA12" s="31">
        <f>(Table1[[#This Row],[end7]]-Table1[[#This Row],[start7]])*24</f>
        <v>0</v>
      </c>
      <c r="AB12" s="15">
        <v>0</v>
      </c>
    </row>
    <row r="13" spans="1:28">
      <c r="A13" s="13"/>
      <c r="B13" s="14"/>
      <c r="C13" s="31">
        <f>(Table1[[#This Row],[end]]-Table1[[#This Row],[start]])*24</f>
        <v>0</v>
      </c>
      <c r="D13" s="16">
        <v>0</v>
      </c>
      <c r="E13" s="14"/>
      <c r="F13" s="14"/>
      <c r="G13" s="32">
        <f>(Table1[[#This Row],[end2]]-Table1[[#This Row],[start2]])*24</f>
        <v>0</v>
      </c>
      <c r="H13" s="15">
        <v>0</v>
      </c>
      <c r="I13" s="14"/>
      <c r="J13" s="14"/>
      <c r="K13" s="32">
        <f>(Table1[[#This Row],[end3]]-Table1[[#This Row],[start3]])*24</f>
        <v>0</v>
      </c>
      <c r="L13" s="15">
        <v>0</v>
      </c>
      <c r="M13" s="14"/>
      <c r="N13" s="14"/>
      <c r="O13" s="32">
        <f>(Table1[[#This Row],[end4]]-Table1[[#This Row],[start4]])*24</f>
        <v>0</v>
      </c>
      <c r="P13" s="15">
        <v>0</v>
      </c>
      <c r="Q13" s="14"/>
      <c r="R13" s="14"/>
      <c r="S13" s="32">
        <f>(Table1[[#This Row],[end5]]-Table1[[#This Row],[start5]])*24</f>
        <v>0</v>
      </c>
      <c r="T13" s="15">
        <v>0</v>
      </c>
      <c r="U13" s="14"/>
      <c r="V13" s="14"/>
      <c r="W13" s="32">
        <f>(Table1[[#This Row],[end6]]-Table1[[#This Row],[start6]])*24</f>
        <v>0</v>
      </c>
      <c r="X13" s="15">
        <v>0</v>
      </c>
      <c r="Y13" s="14"/>
      <c r="Z13" s="14"/>
      <c r="AA13" s="32">
        <f>(Table1[[#This Row],[end7]]-Table1[[#This Row],[start7]])*24</f>
        <v>0</v>
      </c>
      <c r="AB13" s="15">
        <v>0</v>
      </c>
    </row>
    <row r="16" spans="1:28">
      <c r="B16" s="18" t="s">
        <v>73</v>
      </c>
    </row>
    <row r="17" spans="1:22">
      <c r="A17" s="19" t="s">
        <v>48</v>
      </c>
      <c r="B17" s="28">
        <f>SUM(B28:B59)*5</f>
        <v>3338.8594164456226</v>
      </c>
    </row>
    <row r="18" spans="1:22">
      <c r="A18" s="19" t="s">
        <v>72</v>
      </c>
      <c r="B18" s="28">
        <f>SUM(C28:C59)*5</f>
        <v>4104.0442903008816</v>
      </c>
    </row>
    <row r="19" spans="1:22">
      <c r="A19" s="19" t="s">
        <v>71</v>
      </c>
      <c r="B19" s="28">
        <f>SUM(D28:D59)*5</f>
        <v>4635.8680094776009</v>
      </c>
    </row>
    <row r="20" spans="1:22">
      <c r="A20" s="19" t="s">
        <v>70</v>
      </c>
      <c r="B20" s="28">
        <f>SUM(E28:E59)*5</f>
        <v>5136.0815058607222</v>
      </c>
    </row>
    <row r="21" spans="1:22">
      <c r="A21" s="19" t="s">
        <v>69</v>
      </c>
      <c r="B21" s="28">
        <f>SUM(F28:F59)*5</f>
        <v>6309.0558621961782</v>
      </c>
    </row>
    <row r="22" spans="1:22">
      <c r="A22" s="19" t="s">
        <v>68</v>
      </c>
      <c r="B22" s="28">
        <f>SUM(G28:G59)*5</f>
        <v>5449.6008888150709</v>
      </c>
    </row>
    <row r="23" spans="1:22" ht="18" thickBot="1">
      <c r="A23" s="20" t="s">
        <v>67</v>
      </c>
      <c r="B23" s="28">
        <f>SUM(H28:H59)*5</f>
        <v>5214.2357240183337</v>
      </c>
    </row>
    <row r="24" spans="1:22">
      <c r="A24" s="19" t="s">
        <v>74</v>
      </c>
      <c r="B24" s="29">
        <f>SUM(B17:B23)</f>
        <v>34187.745697114413</v>
      </c>
    </row>
    <row r="25" spans="1:22" ht="18" thickBot="1"/>
    <row r="26" spans="1:22">
      <c r="B26" s="46" t="s">
        <v>81</v>
      </c>
      <c r="C26" s="47"/>
      <c r="D26" s="47"/>
      <c r="E26" s="47"/>
      <c r="F26" s="47"/>
      <c r="G26" s="47"/>
      <c r="H26" s="48"/>
      <c r="I26" s="46" t="s">
        <v>82</v>
      </c>
      <c r="J26" s="47"/>
      <c r="K26" s="47"/>
      <c r="L26" s="47"/>
      <c r="M26" s="47"/>
      <c r="N26" s="47"/>
      <c r="O26" s="48"/>
      <c r="P26" s="46" t="s">
        <v>83</v>
      </c>
      <c r="Q26" s="47"/>
      <c r="R26" s="47"/>
      <c r="S26" s="47"/>
      <c r="T26" s="47"/>
      <c r="U26" s="47"/>
      <c r="V26" s="48"/>
    </row>
    <row r="27" spans="1:22" ht="18" thickBot="1">
      <c r="B27" s="23" t="s">
        <v>48</v>
      </c>
      <c r="C27" s="21" t="s">
        <v>72</v>
      </c>
      <c r="D27" s="21" t="s">
        <v>71</v>
      </c>
      <c r="E27" s="21" t="s">
        <v>70</v>
      </c>
      <c r="F27" s="21" t="s">
        <v>69</v>
      </c>
      <c r="G27" s="21" t="s">
        <v>68</v>
      </c>
      <c r="H27" s="24" t="s">
        <v>67</v>
      </c>
      <c r="I27" s="23" t="s">
        <v>48</v>
      </c>
      <c r="J27" s="21" t="s">
        <v>72</v>
      </c>
      <c r="K27" s="21" t="s">
        <v>71</v>
      </c>
      <c r="L27" s="21" t="s">
        <v>70</v>
      </c>
      <c r="M27" s="21" t="s">
        <v>69</v>
      </c>
      <c r="N27" s="21" t="s">
        <v>68</v>
      </c>
      <c r="O27" s="24" t="s">
        <v>67</v>
      </c>
      <c r="P27" s="23" t="s">
        <v>48</v>
      </c>
      <c r="Q27" s="21" t="s">
        <v>72</v>
      </c>
      <c r="R27" s="21" t="s">
        <v>71</v>
      </c>
      <c r="S27" s="21" t="s">
        <v>70</v>
      </c>
      <c r="T27" s="21" t="s">
        <v>69</v>
      </c>
      <c r="U27" s="21" t="s">
        <v>68</v>
      </c>
      <c r="V27" s="24" t="s">
        <v>67</v>
      </c>
    </row>
    <row r="28" spans="1:22">
      <c r="A28" s="27">
        <v>0.33333333333333331</v>
      </c>
      <c r="B28" s="8">
        <f>SUMIFS(D$3:D$13,A$3:A$13,"&lt;="&amp;$A28,B$3:B$13,"&gt;"&amp;$A28)</f>
        <v>0</v>
      </c>
      <c r="C28" s="8">
        <f t="shared" ref="C28:C59" si="0">SUMIFS(H$3:H$13,E$3:E$13,"&lt;="&amp;$A28,F$3:F$13,"&gt;"&amp;$A28)</f>
        <v>2.2346368715083798</v>
      </c>
      <c r="D28" s="8">
        <f t="shared" ref="D28:D59" si="1">SUMIFS(L$3:L$13,I$3:I$13,"&lt;="&amp;$A28,J$3:J$13,"&gt;"&amp;$A28)</f>
        <v>3.125</v>
      </c>
      <c r="E28" s="8">
        <f t="shared" ref="E28:E59" si="2">SUMIFS(P$3:P$13,M$3:M$13,"&lt;="&amp;$A28,N$3:N$13,"&gt;"&amp;$A28)</f>
        <v>4.0697674418604652</v>
      </c>
      <c r="F28" s="8">
        <f t="shared" ref="F28:F59" si="3">SUMIFS(T$3:T$13,Q$3:Q$13,"&lt;="&amp;$A28,R$3:R$13,"&gt;"&amp;$A28)</f>
        <v>5.1948051948051948</v>
      </c>
      <c r="G28" s="8">
        <f t="shared" ref="G28:G59" si="4">SUMIFS(X$3:X$13,U$3:U$13,"&lt;="&amp;$A28,V$3:V$13,"&gt;"&amp;$A28)</f>
        <v>4.761904761904761</v>
      </c>
      <c r="H28" s="22">
        <f t="shared" ref="H28:H59" si="5">SUMIFS(AB$3:AB$13,Y$3:Y$13,"&lt;="&amp;$A28,Z$3:Z$13,"&gt;"&amp;$A28)</f>
        <v>4.3478260869565215</v>
      </c>
      <c r="I28" s="8">
        <f>B28*'Market Driver Data'!B2</f>
        <v>0</v>
      </c>
      <c r="J28" s="8">
        <f>C28*'Market Driver Data'!C2</f>
        <v>4.1787709497206702</v>
      </c>
      <c r="K28" s="8">
        <f>D28*'Market Driver Data'!D2</f>
        <v>5.28125</v>
      </c>
      <c r="L28" s="8">
        <f>E28*'Market Driver Data'!E2</f>
        <v>7.4476744186046515</v>
      </c>
      <c r="M28" s="8">
        <f>F28*'Market Driver Data'!F2</f>
        <v>8.0519480519480524</v>
      </c>
      <c r="N28" s="8">
        <f>G28*'Market Driver Data'!G2</f>
        <v>7.428571428571427</v>
      </c>
      <c r="O28" s="22">
        <f>H28*'Market Driver Data'!H2</f>
        <v>7.3478260869565215</v>
      </c>
      <c r="P28">
        <v>0</v>
      </c>
      <c r="Q28">
        <v>0</v>
      </c>
      <c r="R28">
        <v>0</v>
      </c>
      <c r="S28">
        <v>0</v>
      </c>
      <c r="T28">
        <v>0</v>
      </c>
      <c r="U28">
        <v>0</v>
      </c>
      <c r="V28" s="25">
        <v>0</v>
      </c>
    </row>
    <row r="29" spans="1:22">
      <c r="A29" s="27">
        <v>0.35416666666666669</v>
      </c>
      <c r="B29" s="8">
        <f t="shared" ref="B29:B59" si="6">SUMIFS(D$3:D$13,$A$3:$A$13,"&lt;="&amp;$A29,$B$3:$B$13,"&gt;"&amp;$A29)</f>
        <v>2.3529411764705883</v>
      </c>
      <c r="C29" s="8">
        <f t="shared" si="0"/>
        <v>2.2346368715083798</v>
      </c>
      <c r="D29" s="8">
        <f t="shared" si="1"/>
        <v>3.125</v>
      </c>
      <c r="E29" s="8">
        <f t="shared" si="2"/>
        <v>4.0697674418604652</v>
      </c>
      <c r="F29" s="8">
        <f t="shared" si="3"/>
        <v>5.1948051948051948</v>
      </c>
      <c r="G29" s="8">
        <f t="shared" si="4"/>
        <v>4.761904761904761</v>
      </c>
      <c r="H29" s="22">
        <f t="shared" si="5"/>
        <v>4.3478260869565215</v>
      </c>
      <c r="I29" s="8">
        <f>B29*'Market Driver Data'!B3</f>
        <v>4.2117647058823531</v>
      </c>
      <c r="J29" s="8">
        <f>C29*'Market Driver Data'!C3</f>
        <v>4.4022346368715084</v>
      </c>
      <c r="K29" s="8">
        <f>D29*'Market Driver Data'!D3</f>
        <v>5.28125</v>
      </c>
      <c r="L29" s="8">
        <f>E29*'Market Driver Data'!E3</f>
        <v>7</v>
      </c>
      <c r="M29" s="8">
        <f>F29*'Market Driver Data'!F3</f>
        <v>8.6233766233766236</v>
      </c>
      <c r="N29" s="8">
        <f>G29*'Market Driver Data'!G3</f>
        <v>7.6190476190476177</v>
      </c>
      <c r="O29" s="22">
        <f>H29*'Market Driver Data'!H3</f>
        <v>6.8695652173913047</v>
      </c>
      <c r="P29">
        <v>3</v>
      </c>
      <c r="Q29">
        <v>4</v>
      </c>
      <c r="R29">
        <v>5</v>
      </c>
      <c r="S29">
        <v>7</v>
      </c>
      <c r="T29">
        <v>5</v>
      </c>
      <c r="U29">
        <v>5</v>
      </c>
      <c r="V29" s="26">
        <v>4</v>
      </c>
    </row>
    <row r="30" spans="1:22">
      <c r="A30" s="27">
        <v>0.375</v>
      </c>
      <c r="B30" s="8">
        <f t="shared" si="6"/>
        <v>2.3529411764705883</v>
      </c>
      <c r="C30" s="8">
        <f t="shared" si="0"/>
        <v>2.2346368715083798</v>
      </c>
      <c r="D30" s="8">
        <f t="shared" si="1"/>
        <v>3.125</v>
      </c>
      <c r="E30" s="8">
        <f t="shared" si="2"/>
        <v>4.0697674418604652</v>
      </c>
      <c r="F30" s="8">
        <f t="shared" si="3"/>
        <v>5.1948051948051948</v>
      </c>
      <c r="G30" s="8">
        <f t="shared" si="4"/>
        <v>4.761904761904761</v>
      </c>
      <c r="H30" s="22">
        <f t="shared" si="5"/>
        <v>4.3478260869565215</v>
      </c>
      <c r="I30" s="8">
        <f>B30*'Market Driver Data'!B4</f>
        <v>4</v>
      </c>
      <c r="J30" s="8">
        <f>C30*'Market Driver Data'!C4</f>
        <v>4</v>
      </c>
      <c r="K30" s="8">
        <f>D30*'Market Driver Data'!D4</f>
        <v>5.5</v>
      </c>
      <c r="L30" s="8">
        <f>E30*'Market Driver Data'!E4</f>
        <v>6.6337209302325579</v>
      </c>
      <c r="M30" s="8">
        <f>F30*'Market Driver Data'!F4</f>
        <v>7.1688311688311686</v>
      </c>
      <c r="N30" s="8">
        <f>G30*'Market Driver Data'!G4</f>
        <v>7.0476190476190466</v>
      </c>
      <c r="O30" s="22">
        <f>H30*'Market Driver Data'!H4</f>
        <v>5.9565217391304346</v>
      </c>
      <c r="P30">
        <v>4</v>
      </c>
      <c r="Q30">
        <v>4</v>
      </c>
      <c r="R30">
        <v>3</v>
      </c>
      <c r="S30">
        <v>4</v>
      </c>
      <c r="T30">
        <v>7</v>
      </c>
      <c r="U30">
        <v>7</v>
      </c>
      <c r="V30" s="26">
        <v>5</v>
      </c>
    </row>
    <row r="31" spans="1:22">
      <c r="A31" s="27">
        <v>0.39583333333333298</v>
      </c>
      <c r="B31" s="8">
        <f t="shared" si="6"/>
        <v>7.3852051687787483</v>
      </c>
      <c r="C31" s="8">
        <f t="shared" si="0"/>
        <v>2.2346368715083798</v>
      </c>
      <c r="D31" s="8">
        <f t="shared" si="1"/>
        <v>3.125</v>
      </c>
      <c r="E31" s="8">
        <f t="shared" si="2"/>
        <v>4.0697674418604652</v>
      </c>
      <c r="F31" s="8">
        <f t="shared" si="3"/>
        <v>5.1948051948051948</v>
      </c>
      <c r="G31" s="8">
        <f t="shared" si="4"/>
        <v>4.761904761904761</v>
      </c>
      <c r="H31" s="22">
        <f t="shared" si="5"/>
        <v>4.3478260869565215</v>
      </c>
      <c r="I31" s="8">
        <f>B31*'Market Driver Data'!B5</f>
        <v>14.253445975742984</v>
      </c>
      <c r="J31" s="8">
        <f>C31*'Market Driver Data'!C5</f>
        <v>4</v>
      </c>
      <c r="K31" s="8">
        <f>D31*'Market Driver Data'!D5</f>
        <v>6</v>
      </c>
      <c r="L31" s="8">
        <f>E31*'Market Driver Data'!E5</f>
        <v>6.5523255813953494</v>
      </c>
      <c r="M31" s="8">
        <f>F31*'Market Driver Data'!F5</f>
        <v>8</v>
      </c>
      <c r="N31" s="8">
        <f>G31*'Market Driver Data'!G5</f>
        <v>6.9999999999999982</v>
      </c>
      <c r="O31" s="22">
        <f>H31*'Market Driver Data'!H5</f>
        <v>5.9999999999999991</v>
      </c>
      <c r="P31">
        <v>5</v>
      </c>
      <c r="Q31">
        <v>3</v>
      </c>
      <c r="R31">
        <v>6</v>
      </c>
      <c r="S31">
        <v>6</v>
      </c>
      <c r="T31">
        <v>8</v>
      </c>
      <c r="U31">
        <v>7</v>
      </c>
      <c r="V31" s="26">
        <v>6</v>
      </c>
    </row>
    <row r="32" spans="1:22">
      <c r="A32" s="27">
        <v>0.41666666666666702</v>
      </c>
      <c r="B32" s="8">
        <f t="shared" si="6"/>
        <v>7.3852051687787483</v>
      </c>
      <c r="C32" s="8">
        <f t="shared" si="0"/>
        <v>17.539113916250102</v>
      </c>
      <c r="D32" s="8">
        <f t="shared" si="1"/>
        <v>20.753462568412488</v>
      </c>
      <c r="E32" s="8">
        <f t="shared" si="2"/>
        <v>23.226936701062684</v>
      </c>
      <c r="F32" s="8">
        <f t="shared" si="3"/>
        <v>27.273593199425097</v>
      </c>
      <c r="G32" s="8">
        <f t="shared" si="4"/>
        <v>8.9041095890410968</v>
      </c>
      <c r="H32" s="22">
        <f t="shared" si="5"/>
        <v>19.29043854827772</v>
      </c>
      <c r="I32" s="8">
        <f>B32*'Market Driver Data'!B6</f>
        <v>11.74247621835821</v>
      </c>
      <c r="J32" s="8">
        <f>C32*'Market Driver Data'!C6</f>
        <v>27.010235431025158</v>
      </c>
      <c r="K32" s="8">
        <f>D32*'Market Driver Data'!D6</f>
        <v>31.130193852618731</v>
      </c>
      <c r="L32" s="8">
        <f>E32*'Market Driver Data'!E6</f>
        <v>35.769482519636533</v>
      </c>
      <c r="M32" s="8">
        <f>F32*'Market Driver Data'!F6</f>
        <v>41.45586166312615</v>
      </c>
      <c r="N32" s="8">
        <f>G32*'Market Driver Data'!G6</f>
        <v>12.020547945205481</v>
      </c>
      <c r="O32" s="22">
        <f>H32*'Market Driver Data'!H6</f>
        <v>23.920143799864373</v>
      </c>
      <c r="P32">
        <v>5</v>
      </c>
      <c r="Q32">
        <v>5</v>
      </c>
      <c r="R32">
        <v>5</v>
      </c>
      <c r="S32">
        <v>7</v>
      </c>
      <c r="T32">
        <v>8</v>
      </c>
      <c r="U32">
        <v>8</v>
      </c>
      <c r="V32" s="26">
        <v>7</v>
      </c>
    </row>
    <row r="33" spans="1:22">
      <c r="A33" s="27">
        <v>0.4375</v>
      </c>
      <c r="B33" s="8">
        <f t="shared" si="6"/>
        <v>12.740174000986951</v>
      </c>
      <c r="C33" s="8">
        <f t="shared" si="0"/>
        <v>17.539113916250102</v>
      </c>
      <c r="D33" s="8">
        <f t="shared" si="1"/>
        <v>20.753462568412488</v>
      </c>
      <c r="E33" s="8">
        <f t="shared" si="2"/>
        <v>23.226936701062684</v>
      </c>
      <c r="F33" s="8">
        <f t="shared" si="3"/>
        <v>27.273593199425097</v>
      </c>
      <c r="G33" s="8">
        <f t="shared" si="4"/>
        <v>8.9041095890410968</v>
      </c>
      <c r="H33" s="22">
        <f t="shared" si="5"/>
        <v>19.29043854827772</v>
      </c>
      <c r="I33" s="8">
        <f>B33*'Market Driver Data'!B7</f>
        <v>20.766483621608728</v>
      </c>
      <c r="J33" s="8">
        <f>C33*'Market Driver Data'!C7</f>
        <v>28.939537961812668</v>
      </c>
      <c r="K33" s="8">
        <f>D33*'Market Driver Data'!D7</f>
        <v>33.413074735144107</v>
      </c>
      <c r="L33" s="8">
        <f>E33*'Market Driver Data'!E7</f>
        <v>38.324445556753425</v>
      </c>
      <c r="M33" s="8">
        <f>F33*'Market Driver Data'!F7</f>
        <v>43.092277255091652</v>
      </c>
      <c r="N33" s="8">
        <f>G33*'Market Driver Data'!G7</f>
        <v>13.000000000000002</v>
      </c>
      <c r="O33" s="22">
        <f>H33*'Market Driver Data'!H7</f>
        <v>28.164040280485469</v>
      </c>
      <c r="P33">
        <v>8</v>
      </c>
      <c r="Q33">
        <v>5</v>
      </c>
      <c r="R33">
        <v>10</v>
      </c>
      <c r="S33">
        <v>8</v>
      </c>
      <c r="T33">
        <v>10</v>
      </c>
      <c r="U33">
        <v>13</v>
      </c>
      <c r="V33" s="26">
        <v>9</v>
      </c>
    </row>
    <row r="34" spans="1:22">
      <c r="A34" s="27">
        <v>0.45833333333333298</v>
      </c>
      <c r="B34" s="8">
        <f t="shared" si="6"/>
        <v>18.018128368446842</v>
      </c>
      <c r="C34" s="8">
        <f t="shared" si="0"/>
        <v>32.911392405063282</v>
      </c>
      <c r="D34" s="8">
        <f t="shared" si="1"/>
        <v>38.513513513513502</v>
      </c>
      <c r="E34" s="8">
        <f t="shared" si="2"/>
        <v>42.384105960264904</v>
      </c>
      <c r="F34" s="8">
        <f t="shared" si="3"/>
        <v>49.285714285714292</v>
      </c>
      <c r="G34" s="8">
        <f t="shared" si="4"/>
        <v>32.885906040268459</v>
      </c>
      <c r="H34" s="22">
        <f t="shared" si="5"/>
        <v>34.722222222222221</v>
      </c>
      <c r="I34" s="8">
        <f>B34*'Market Driver Data'!B8</f>
        <v>29.36954924056835</v>
      </c>
      <c r="J34" s="8">
        <f>C34*'Market Driver Data'!C8</f>
        <v>52.658227848101255</v>
      </c>
      <c r="K34" s="8">
        <f>D34*'Market Driver Data'!D8</f>
        <v>59.69594594594593</v>
      </c>
      <c r="L34" s="8">
        <f>E34*'Market Driver Data'!E8</f>
        <v>65.271523178807954</v>
      </c>
      <c r="M34" s="8">
        <f>F34*'Market Driver Data'!F8</f>
        <v>72.45</v>
      </c>
      <c r="N34" s="8">
        <f>G34*'Market Driver Data'!G8</f>
        <v>49.65771812080537</v>
      </c>
      <c r="O34" s="22">
        <f>H34*'Market Driver Data'!H8</f>
        <v>52.430555555555557</v>
      </c>
      <c r="P34">
        <v>19</v>
      </c>
      <c r="Q34">
        <v>19</v>
      </c>
      <c r="R34">
        <v>20</v>
      </c>
      <c r="S34">
        <v>25</v>
      </c>
      <c r="T34">
        <v>25</v>
      </c>
      <c r="U34">
        <v>18</v>
      </c>
      <c r="V34" s="26">
        <v>14</v>
      </c>
    </row>
    <row r="35" spans="1:22">
      <c r="A35" s="27">
        <v>0.47916666666666702</v>
      </c>
      <c r="B35" s="8">
        <f t="shared" si="6"/>
        <v>28.846153846153847</v>
      </c>
      <c r="C35" s="8">
        <f t="shared" si="0"/>
        <v>32.911392405063282</v>
      </c>
      <c r="D35" s="8">
        <f t="shared" si="1"/>
        <v>38.513513513513502</v>
      </c>
      <c r="E35" s="8">
        <f t="shared" si="2"/>
        <v>42.384105960264904</v>
      </c>
      <c r="F35" s="8">
        <f t="shared" si="3"/>
        <v>49.285714285714292</v>
      </c>
      <c r="G35" s="8">
        <f t="shared" si="4"/>
        <v>32.885906040268459</v>
      </c>
      <c r="H35" s="22">
        <f t="shared" si="5"/>
        <v>34.722222222222221</v>
      </c>
      <c r="I35" s="8">
        <f>B35*'Market Driver Data'!B9</f>
        <v>45</v>
      </c>
      <c r="J35" s="8">
        <f>C35*'Market Driver Data'!C9</f>
        <v>51.999999999999986</v>
      </c>
      <c r="K35" s="8">
        <f>D35*'Market Driver Data'!D9</f>
        <v>56.999999999999979</v>
      </c>
      <c r="L35" s="8">
        <f>E35*'Market Driver Data'!E9</f>
        <v>61.880794701986758</v>
      </c>
      <c r="M35" s="8">
        <f>F35*'Market Driver Data'!F9</f>
        <v>69</v>
      </c>
      <c r="N35" s="8">
        <f>G35*'Market Driver Data'!G9</f>
        <v>48.342281879194637</v>
      </c>
      <c r="O35" s="22">
        <f>H35*'Market Driver Data'!H9</f>
        <v>51.041666666666664</v>
      </c>
      <c r="P35">
        <v>45</v>
      </c>
      <c r="Q35">
        <v>52</v>
      </c>
      <c r="R35">
        <v>57</v>
      </c>
      <c r="S35">
        <v>60</v>
      </c>
      <c r="T35">
        <v>69</v>
      </c>
      <c r="U35">
        <v>36</v>
      </c>
      <c r="V35" s="26">
        <v>36</v>
      </c>
    </row>
    <row r="36" spans="1:22">
      <c r="A36" s="27">
        <v>0.5</v>
      </c>
      <c r="B36" s="8">
        <f t="shared" si="6"/>
        <v>28.846153846153847</v>
      </c>
      <c r="C36" s="8">
        <f t="shared" si="0"/>
        <v>32.911392405063282</v>
      </c>
      <c r="D36" s="8">
        <f t="shared" si="1"/>
        <v>38.513513513513502</v>
      </c>
      <c r="E36" s="8">
        <f t="shared" si="2"/>
        <v>42.384105960264904</v>
      </c>
      <c r="F36" s="8">
        <f t="shared" si="3"/>
        <v>49.285714285714292</v>
      </c>
      <c r="G36" s="8">
        <f t="shared" si="4"/>
        <v>32.885906040268459</v>
      </c>
      <c r="H36" s="22">
        <f t="shared" si="5"/>
        <v>34.722222222222221</v>
      </c>
      <c r="I36" s="8">
        <f>B36*'Market Driver Data'!B10</f>
        <v>45.28846153846154</v>
      </c>
      <c r="J36" s="8">
        <f>C36*'Market Driver Data'!C10</f>
        <v>51.012658227848085</v>
      </c>
      <c r="K36" s="8">
        <f>D36*'Market Driver Data'!D10</f>
        <v>58.540540540540526</v>
      </c>
      <c r="L36" s="8">
        <f>E36*'Market Driver Data'!E10</f>
        <v>64</v>
      </c>
      <c r="M36" s="8">
        <f>F36*'Market Driver Data'!F10</f>
        <v>69.985714285714295</v>
      </c>
      <c r="N36" s="8">
        <f>G36*'Market Driver Data'!G10</f>
        <v>49.328859060402692</v>
      </c>
      <c r="O36" s="22">
        <f>H36*'Market Driver Data'!H10</f>
        <v>51.388888888888886</v>
      </c>
      <c r="P36">
        <v>45</v>
      </c>
      <c r="Q36">
        <v>51</v>
      </c>
      <c r="R36">
        <v>58</v>
      </c>
      <c r="S36">
        <v>64</v>
      </c>
      <c r="T36">
        <v>65</v>
      </c>
      <c r="U36">
        <v>41</v>
      </c>
      <c r="V36" s="26">
        <v>44</v>
      </c>
    </row>
    <row r="37" spans="1:22">
      <c r="A37" s="27">
        <v>0.52083333333333304</v>
      </c>
      <c r="B37" s="8">
        <f t="shared" si="6"/>
        <v>28.846153846153847</v>
      </c>
      <c r="C37" s="8">
        <f t="shared" si="0"/>
        <v>32.911392405063282</v>
      </c>
      <c r="D37" s="8">
        <f t="shared" si="1"/>
        <v>38.513513513513502</v>
      </c>
      <c r="E37" s="8">
        <f t="shared" si="2"/>
        <v>42.384105960264904</v>
      </c>
      <c r="F37" s="8">
        <f t="shared" si="3"/>
        <v>49.285714285714292</v>
      </c>
      <c r="G37" s="8">
        <f t="shared" si="4"/>
        <v>32.885906040268459</v>
      </c>
      <c r="H37" s="22">
        <f t="shared" si="5"/>
        <v>34.722222222222221</v>
      </c>
      <c r="I37" s="8">
        <f>B37*'Market Driver Data'!B11</f>
        <v>46.442307692307693</v>
      </c>
      <c r="J37" s="8">
        <f>C37*'Market Driver Data'!C11</f>
        <v>51.999999999999986</v>
      </c>
      <c r="K37" s="8">
        <f>D37*'Market Driver Data'!D11</f>
        <v>59.69594594594593</v>
      </c>
      <c r="L37" s="8">
        <f>E37*'Market Driver Data'!E11</f>
        <v>66.543046357615907</v>
      </c>
      <c r="M37" s="8">
        <f>F37*'Market Driver Data'!F11</f>
        <v>71.95714285714287</v>
      </c>
      <c r="N37" s="8">
        <f>G37*'Market Driver Data'!G11</f>
        <v>49.000000000000007</v>
      </c>
      <c r="O37" s="22">
        <f>H37*'Market Driver Data'!H11</f>
        <v>50</v>
      </c>
      <c r="P37">
        <v>45</v>
      </c>
      <c r="Q37">
        <v>52</v>
      </c>
      <c r="R37">
        <v>53</v>
      </c>
      <c r="S37">
        <v>61</v>
      </c>
      <c r="T37">
        <v>70</v>
      </c>
      <c r="U37">
        <v>49</v>
      </c>
      <c r="V37" s="26">
        <v>50</v>
      </c>
    </row>
    <row r="38" spans="1:22">
      <c r="A38" s="27">
        <v>0.54166666666666696</v>
      </c>
      <c r="B38" s="8">
        <f t="shared" si="6"/>
        <v>28.846153846153847</v>
      </c>
      <c r="C38" s="8">
        <f t="shared" si="0"/>
        <v>32.911392405063282</v>
      </c>
      <c r="D38" s="8">
        <f t="shared" si="1"/>
        <v>38.513513513513502</v>
      </c>
      <c r="E38" s="8">
        <f t="shared" si="2"/>
        <v>42.384105960264904</v>
      </c>
      <c r="F38" s="8">
        <f t="shared" si="3"/>
        <v>49.285714285714292</v>
      </c>
      <c r="G38" s="8">
        <f t="shared" si="4"/>
        <v>32.885906040268459</v>
      </c>
      <c r="H38" s="22">
        <f t="shared" si="5"/>
        <v>34.722222222222221</v>
      </c>
      <c r="I38" s="8">
        <f>B38*'Market Driver Data'!B12</f>
        <v>46.442307692307693</v>
      </c>
      <c r="J38" s="8">
        <f>C38*'Market Driver Data'!C12</f>
        <v>53.316455696202517</v>
      </c>
      <c r="K38" s="8">
        <f>D38*'Market Driver Data'!D12</f>
        <v>63.16216216216214</v>
      </c>
      <c r="L38" s="8">
        <f>E38*'Market Driver Data'!E12</f>
        <v>68.238410596026498</v>
      </c>
      <c r="M38" s="8">
        <f>F38*'Market Driver Data'!F12</f>
        <v>75.900000000000006</v>
      </c>
      <c r="N38" s="8">
        <f>G38*'Market Driver Data'!G12</f>
        <v>49.986577181208055</v>
      </c>
      <c r="O38" s="22">
        <f>H38*'Market Driver Data'!H12</f>
        <v>51.041666666666664</v>
      </c>
      <c r="P38">
        <v>43</v>
      </c>
      <c r="Q38">
        <v>44</v>
      </c>
      <c r="R38">
        <v>43</v>
      </c>
      <c r="S38">
        <v>46</v>
      </c>
      <c r="T38">
        <v>52</v>
      </c>
      <c r="U38">
        <v>46</v>
      </c>
      <c r="V38" s="26">
        <v>48</v>
      </c>
    </row>
    <row r="39" spans="1:22">
      <c r="A39" s="27">
        <v>0.5625</v>
      </c>
      <c r="B39" s="8">
        <f t="shared" si="6"/>
        <v>26.49321266968326</v>
      </c>
      <c r="C39" s="8">
        <f t="shared" si="0"/>
        <v>32.911392405063282</v>
      </c>
      <c r="D39" s="8">
        <f t="shared" si="1"/>
        <v>38.513513513513502</v>
      </c>
      <c r="E39" s="8">
        <f t="shared" si="2"/>
        <v>42.384105960264904</v>
      </c>
      <c r="F39" s="8">
        <f t="shared" si="3"/>
        <v>49.285714285714292</v>
      </c>
      <c r="G39" s="8">
        <f t="shared" si="4"/>
        <v>32.885906040268459</v>
      </c>
      <c r="H39" s="22">
        <f t="shared" si="5"/>
        <v>34.722222222222221</v>
      </c>
      <c r="I39" s="8">
        <f>B39*'Market Driver Data'!B13</f>
        <v>43.97873303167421</v>
      </c>
      <c r="J39" s="8">
        <f>C39*'Market Driver Data'!C13</f>
        <v>54.96202531645568</v>
      </c>
      <c r="K39" s="8">
        <f>D39*'Market Driver Data'!D13</f>
        <v>63.547297297297277</v>
      </c>
      <c r="L39" s="8">
        <f>E39*'Market Driver Data'!E13</f>
        <v>68.238410596026498</v>
      </c>
      <c r="M39" s="8">
        <f>F39*'Market Driver Data'!F13</f>
        <v>77.378571428571448</v>
      </c>
      <c r="N39" s="8">
        <f>G39*'Market Driver Data'!G13</f>
        <v>50.31543624161074</v>
      </c>
      <c r="O39" s="22">
        <f>H39*'Market Driver Data'!H13</f>
        <v>51.736111111111107</v>
      </c>
      <c r="P39">
        <v>31</v>
      </c>
      <c r="Q39">
        <v>37</v>
      </c>
      <c r="R39">
        <v>37</v>
      </c>
      <c r="S39">
        <v>41</v>
      </c>
      <c r="T39">
        <v>50</v>
      </c>
      <c r="U39">
        <v>48</v>
      </c>
      <c r="V39" s="26">
        <v>51</v>
      </c>
    </row>
    <row r="40" spans="1:22">
      <c r="A40" s="27">
        <v>0.58333333333333304</v>
      </c>
      <c r="B40" s="8">
        <f t="shared" si="6"/>
        <v>26.49321266968326</v>
      </c>
      <c r="C40" s="8">
        <f t="shared" si="0"/>
        <v>32.911392405063282</v>
      </c>
      <c r="D40" s="8">
        <f t="shared" si="1"/>
        <v>38.513513513513502</v>
      </c>
      <c r="E40" s="8">
        <f t="shared" si="2"/>
        <v>42.384105960264904</v>
      </c>
      <c r="F40" s="8">
        <f t="shared" si="3"/>
        <v>49.285714285714292</v>
      </c>
      <c r="G40" s="8">
        <f t="shared" si="4"/>
        <v>32.885906040268459</v>
      </c>
      <c r="H40" s="22">
        <f t="shared" si="5"/>
        <v>34.722222222222221</v>
      </c>
      <c r="I40" s="8">
        <f>B40*'Market Driver Data'!B14</f>
        <v>43.183936651583707</v>
      </c>
      <c r="J40" s="8">
        <f>C40*'Market Driver Data'!C14</f>
        <v>54.632911392405042</v>
      </c>
      <c r="K40" s="8">
        <f>D40*'Market Driver Data'!D14</f>
        <v>65.08783783783781</v>
      </c>
      <c r="L40" s="8">
        <f>E40*'Market Driver Data'!E14</f>
        <v>69.933774834437088</v>
      </c>
      <c r="M40" s="8">
        <f>F40*'Market Driver Data'!F14</f>
        <v>76.8857142857143</v>
      </c>
      <c r="N40" s="8">
        <f>G40*'Market Driver Data'!G14</f>
        <v>50.973154362416111</v>
      </c>
      <c r="O40" s="22">
        <f>H40*'Market Driver Data'!H14</f>
        <v>53.125</v>
      </c>
      <c r="P40">
        <v>30</v>
      </c>
      <c r="Q40">
        <v>30</v>
      </c>
      <c r="R40">
        <v>30</v>
      </c>
      <c r="S40">
        <v>34</v>
      </c>
      <c r="T40">
        <v>32</v>
      </c>
      <c r="U40">
        <v>41</v>
      </c>
      <c r="V40" s="26">
        <v>46</v>
      </c>
    </row>
    <row r="41" spans="1:22">
      <c r="A41" s="27">
        <v>0.60416666666666696</v>
      </c>
      <c r="B41" s="8">
        <f t="shared" si="6"/>
        <v>21.4609486773751</v>
      </c>
      <c r="C41" s="8">
        <f t="shared" si="0"/>
        <v>32.911392405063282</v>
      </c>
      <c r="D41" s="8">
        <f t="shared" si="1"/>
        <v>38.513513513513502</v>
      </c>
      <c r="E41" s="8">
        <f t="shared" si="2"/>
        <v>42.384105960264904</v>
      </c>
      <c r="F41" s="8">
        <f t="shared" si="3"/>
        <v>49.285714285714292</v>
      </c>
      <c r="G41" s="8">
        <f t="shared" si="4"/>
        <v>32.885906040268459</v>
      </c>
      <c r="H41" s="22">
        <f t="shared" si="5"/>
        <v>34.722222222222221</v>
      </c>
      <c r="I41" s="8">
        <f>B41*'Market Driver Data'!B15</f>
        <v>34.981346344121413</v>
      </c>
      <c r="J41" s="8">
        <f>C41*'Market Driver Data'!C15</f>
        <v>52.987341772151886</v>
      </c>
      <c r="K41" s="8">
        <f>D41*'Market Driver Data'!D15</f>
        <v>62.006756756756744</v>
      </c>
      <c r="L41" s="8">
        <f>E41*'Market Driver Data'!E15</f>
        <v>69.509933774834437</v>
      </c>
      <c r="M41" s="8">
        <f>F41*'Market Driver Data'!F15</f>
        <v>78.857142857142875</v>
      </c>
      <c r="N41" s="8">
        <f>G41*'Market Driver Data'!G15</f>
        <v>50.31543624161074</v>
      </c>
      <c r="O41" s="22">
        <f>H41*'Market Driver Data'!H15</f>
        <v>52.777777777777779</v>
      </c>
      <c r="P41">
        <v>23</v>
      </c>
      <c r="Q41">
        <v>27</v>
      </c>
      <c r="R41">
        <v>24</v>
      </c>
      <c r="S41">
        <v>30</v>
      </c>
      <c r="T41">
        <v>27</v>
      </c>
      <c r="U41">
        <v>41</v>
      </c>
      <c r="V41" s="26">
        <v>38</v>
      </c>
    </row>
    <row r="42" spans="1:22">
      <c r="A42" s="27">
        <v>0.625</v>
      </c>
      <c r="B42" s="8">
        <f t="shared" si="6"/>
        <v>21.4609486773751</v>
      </c>
      <c r="C42" s="8">
        <f t="shared" si="0"/>
        <v>15.372278488813183</v>
      </c>
      <c r="D42" s="8">
        <f t="shared" si="1"/>
        <v>40.758192592840018</v>
      </c>
      <c r="E42" s="8">
        <f t="shared" si="2"/>
        <v>43.99377056639176</v>
      </c>
      <c r="F42" s="8">
        <f t="shared" si="3"/>
        <v>51.939637864812681</v>
      </c>
      <c r="G42" s="8">
        <f t="shared" si="4"/>
        <v>57.98834108769325</v>
      </c>
      <c r="H42" s="22">
        <f t="shared" si="5"/>
        <v>42.383350625511447</v>
      </c>
      <c r="I42" s="8">
        <f>B42*'Market Driver Data'!B16</f>
        <v>34.552127370573913</v>
      </c>
      <c r="J42" s="8">
        <f>C42*'Market Driver Data'!C16</f>
        <v>25.825427861206148</v>
      </c>
      <c r="K42" s="8">
        <f>D42*'Market Driver Data'!D16</f>
        <v>66.028272000400833</v>
      </c>
      <c r="L42" s="8">
        <f>E42*'Market Driver Data'!E16</f>
        <v>70.829970611890744</v>
      </c>
      <c r="M42" s="8">
        <f>F42*'Market Driver Data'!F16</f>
        <v>80.50643869045966</v>
      </c>
      <c r="N42" s="8">
        <f>G42*'Market Driver Data'!G16</f>
        <v>86.982511631539879</v>
      </c>
      <c r="O42" s="22">
        <f>H42*'Market Driver Data'!H16</f>
        <v>66.118026975797861</v>
      </c>
      <c r="P42">
        <v>21</v>
      </c>
      <c r="Q42">
        <v>20</v>
      </c>
      <c r="R42">
        <v>20</v>
      </c>
      <c r="S42">
        <v>22</v>
      </c>
      <c r="T42">
        <v>27</v>
      </c>
      <c r="U42">
        <v>33</v>
      </c>
      <c r="V42" s="26">
        <v>30</v>
      </c>
    </row>
    <row r="43" spans="1:22">
      <c r="A43" s="27">
        <v>0.64583333333333404</v>
      </c>
      <c r="B43" s="8">
        <f t="shared" si="6"/>
        <v>16.105979845166896</v>
      </c>
      <c r="C43" s="8">
        <f t="shared" si="0"/>
        <v>15.372278488813183</v>
      </c>
      <c r="D43" s="8">
        <f t="shared" si="1"/>
        <v>40.758192592840018</v>
      </c>
      <c r="E43" s="8">
        <f t="shared" si="2"/>
        <v>43.99377056639176</v>
      </c>
      <c r="F43" s="8">
        <f t="shared" si="3"/>
        <v>51.939637864812681</v>
      </c>
      <c r="G43" s="8">
        <f t="shared" si="4"/>
        <v>57.98834108769325</v>
      </c>
      <c r="H43" s="22">
        <f t="shared" si="5"/>
        <v>42.383350625511447</v>
      </c>
      <c r="I43" s="8">
        <f>B43*'Market Driver Data'!B17</f>
        <v>25.447448155363698</v>
      </c>
      <c r="J43" s="8">
        <f>C43*'Market Driver Data'!C17</f>
        <v>24.288200012324832</v>
      </c>
      <c r="K43" s="8">
        <f>D43*'Market Driver Data'!D17</f>
        <v>65.213108148544038</v>
      </c>
      <c r="L43" s="8">
        <f>E43*'Market Driver Data'!E17</f>
        <v>69.510157494898976</v>
      </c>
      <c r="M43" s="8">
        <f>F43*'Market Driver Data'!F17</f>
        <v>77.909456797219022</v>
      </c>
      <c r="N43" s="8">
        <f>G43*'Market Driver Data'!G17</f>
        <v>89.302045275047604</v>
      </c>
      <c r="O43" s="22">
        <f>H43*'Market Driver Data'!H17</f>
        <v>64.84652645703251</v>
      </c>
      <c r="P43">
        <v>15</v>
      </c>
      <c r="Q43">
        <v>19</v>
      </c>
      <c r="R43">
        <v>18</v>
      </c>
      <c r="S43">
        <v>24</v>
      </c>
      <c r="T43">
        <v>26</v>
      </c>
      <c r="U43">
        <v>35</v>
      </c>
      <c r="V43" s="26">
        <v>35</v>
      </c>
    </row>
    <row r="44" spans="1:22">
      <c r="A44" s="27">
        <v>0.66666666666666696</v>
      </c>
      <c r="B44" s="8">
        <f t="shared" si="6"/>
        <v>10.828025477707005</v>
      </c>
      <c r="C44" s="8">
        <f t="shared" si="0"/>
        <v>24.657534246575342</v>
      </c>
      <c r="D44" s="8">
        <f t="shared" si="1"/>
        <v>27.397260273972599</v>
      </c>
      <c r="E44" s="8">
        <f t="shared" si="2"/>
        <v>31.428571428571427</v>
      </c>
      <c r="F44" s="8">
        <f t="shared" si="3"/>
        <v>36.434108527131777</v>
      </c>
      <c r="G44" s="8">
        <f t="shared" si="4"/>
        <v>36.36363636363636</v>
      </c>
      <c r="H44" s="22">
        <f t="shared" si="5"/>
        <v>42.222222222222214</v>
      </c>
      <c r="I44" s="8">
        <f>B44*'Market Driver Data'!B18</f>
        <v>17</v>
      </c>
      <c r="J44" s="8">
        <f>C44*'Market Driver Data'!C18</f>
        <v>39.205479452054796</v>
      </c>
      <c r="K44" s="8">
        <f>D44*'Market Driver Data'!D18</f>
        <v>41.643835616438352</v>
      </c>
      <c r="L44" s="8">
        <f>E44*'Market Driver Data'!E18</f>
        <v>47.457142857142856</v>
      </c>
      <c r="M44" s="8">
        <f>F44*'Market Driver Data'!F18</f>
        <v>52.465116279069754</v>
      </c>
      <c r="N44" s="8">
        <f>G44*'Market Driver Data'!G18</f>
        <v>53.454545454545446</v>
      </c>
      <c r="O44" s="22">
        <f>H44*'Market Driver Data'!H18</f>
        <v>63.333333333333321</v>
      </c>
      <c r="P44">
        <v>17</v>
      </c>
      <c r="Q44">
        <v>18</v>
      </c>
      <c r="R44">
        <v>23</v>
      </c>
      <c r="S44">
        <v>27</v>
      </c>
      <c r="T44">
        <v>27</v>
      </c>
      <c r="U44">
        <v>32</v>
      </c>
      <c r="V44" s="26">
        <v>37</v>
      </c>
    </row>
    <row r="45" spans="1:22">
      <c r="A45" s="27">
        <v>0.6875</v>
      </c>
      <c r="B45" s="8">
        <f t="shared" si="6"/>
        <v>15.540540540540542</v>
      </c>
      <c r="C45" s="8">
        <f t="shared" si="0"/>
        <v>24.657534246575342</v>
      </c>
      <c r="D45" s="8">
        <f t="shared" si="1"/>
        <v>27.397260273972599</v>
      </c>
      <c r="E45" s="8">
        <f t="shared" si="2"/>
        <v>31.428571428571427</v>
      </c>
      <c r="F45" s="8">
        <f t="shared" si="3"/>
        <v>36.434108527131777</v>
      </c>
      <c r="G45" s="8">
        <f t="shared" si="4"/>
        <v>36.36363636363636</v>
      </c>
      <c r="H45" s="22">
        <f t="shared" si="5"/>
        <v>42.222222222222214</v>
      </c>
      <c r="I45" s="8">
        <f>B45*'Market Driver Data'!B19</f>
        <v>23.000000000000004</v>
      </c>
      <c r="J45" s="8">
        <f>C45*'Market Driver Data'!C19</f>
        <v>37.479452054794521</v>
      </c>
      <c r="K45" s="8">
        <f>D45*'Market Driver Data'!D19</f>
        <v>38.904109589041092</v>
      </c>
      <c r="L45" s="8">
        <f>E45*'Market Driver Data'!E19</f>
        <v>45.257142857142853</v>
      </c>
      <c r="M45" s="8">
        <f>F45*'Market Driver Data'!F19</f>
        <v>50.279069767441847</v>
      </c>
      <c r="N45" s="8">
        <f>G45*'Market Driver Data'!G19</f>
        <v>50.54545454545454</v>
      </c>
      <c r="O45" s="22">
        <f>H45*'Market Driver Data'!H19</f>
        <v>60.799999999999983</v>
      </c>
      <c r="P45">
        <v>23</v>
      </c>
      <c r="Q45">
        <v>24</v>
      </c>
      <c r="R45">
        <v>26</v>
      </c>
      <c r="S45">
        <v>26</v>
      </c>
      <c r="T45">
        <v>34</v>
      </c>
      <c r="U45">
        <v>35</v>
      </c>
      <c r="V45" s="26">
        <v>39</v>
      </c>
    </row>
    <row r="46" spans="1:22">
      <c r="A46" s="27">
        <v>0.70833333333333404</v>
      </c>
      <c r="B46" s="8">
        <f t="shared" si="6"/>
        <v>20.525484590907695</v>
      </c>
      <c r="C46" s="8">
        <f t="shared" si="0"/>
        <v>24.657534246575342</v>
      </c>
      <c r="D46" s="8">
        <f t="shared" si="1"/>
        <v>27.397260273972599</v>
      </c>
      <c r="E46" s="8">
        <f t="shared" si="2"/>
        <v>31.428571428571427</v>
      </c>
      <c r="F46" s="8">
        <f t="shared" si="3"/>
        <v>36.434108527131777</v>
      </c>
      <c r="G46" s="8">
        <f t="shared" si="4"/>
        <v>36.36363636363636</v>
      </c>
      <c r="H46" s="22">
        <f t="shared" si="5"/>
        <v>42.222222222222214</v>
      </c>
      <c r="I46" s="8">
        <f>B46*'Market Driver Data'!B20</f>
        <v>30.582972040452464</v>
      </c>
      <c r="J46" s="8">
        <f>C46*'Market Driver Data'!C20</f>
        <v>36.739726027397261</v>
      </c>
      <c r="K46" s="8">
        <f>D46*'Market Driver Data'!D20</f>
        <v>39.726027397260268</v>
      </c>
      <c r="L46" s="8">
        <f>E46*'Market Driver Data'!E20</f>
        <v>44.628571428571426</v>
      </c>
      <c r="M46" s="8">
        <f>F46*'Market Driver Data'!F20</f>
        <v>49.1860465116279</v>
      </c>
      <c r="N46" s="8">
        <f>G46*'Market Driver Data'!G20</f>
        <v>50.909090909090899</v>
      </c>
      <c r="O46" s="22">
        <f>H46*'Market Driver Data'!H20</f>
        <v>59.533333333333317</v>
      </c>
      <c r="P46">
        <v>25</v>
      </c>
      <c r="Q46">
        <v>27</v>
      </c>
      <c r="R46">
        <v>30</v>
      </c>
      <c r="S46">
        <v>32</v>
      </c>
      <c r="T46">
        <v>38</v>
      </c>
      <c r="U46">
        <v>42</v>
      </c>
      <c r="V46" s="26">
        <v>42</v>
      </c>
    </row>
    <row r="47" spans="1:22">
      <c r="A47" s="27">
        <v>0.72916666666666696</v>
      </c>
      <c r="B47" s="8">
        <f t="shared" si="6"/>
        <v>25.695266000792948</v>
      </c>
      <c r="C47" s="8">
        <f t="shared" si="0"/>
        <v>24.657534246575342</v>
      </c>
      <c r="D47" s="8">
        <f t="shared" si="1"/>
        <v>27.397260273972599</v>
      </c>
      <c r="E47" s="8">
        <f t="shared" si="2"/>
        <v>31.428571428571427</v>
      </c>
      <c r="F47" s="8">
        <f t="shared" si="3"/>
        <v>36.434108527131777</v>
      </c>
      <c r="G47" s="8">
        <f t="shared" si="4"/>
        <v>36.36363636363636</v>
      </c>
      <c r="H47" s="22">
        <f t="shared" si="5"/>
        <v>42.222222222222214</v>
      </c>
      <c r="I47" s="8">
        <f>B47*'Market Driver Data'!B21</f>
        <v>38.02899368117356</v>
      </c>
      <c r="J47" s="8">
        <f>C47*'Market Driver Data'!C21</f>
        <v>36</v>
      </c>
      <c r="K47" s="8">
        <f>D47*'Market Driver Data'!D21</f>
        <v>39.999999999999993</v>
      </c>
      <c r="L47" s="8">
        <f>E47*'Market Driver Data'!E21</f>
        <v>43.999999999999993</v>
      </c>
      <c r="M47" s="8">
        <f>F47*'Market Driver Data'!F21</f>
        <v>46.999999999999993</v>
      </c>
      <c r="N47" s="8">
        <f>G47*'Market Driver Data'!G21</f>
        <v>48</v>
      </c>
      <c r="O47" s="22">
        <f>H47*'Market Driver Data'!H21</f>
        <v>56.999999999999993</v>
      </c>
      <c r="P47">
        <v>34</v>
      </c>
      <c r="Q47">
        <v>36</v>
      </c>
      <c r="R47">
        <v>40</v>
      </c>
      <c r="S47">
        <v>44</v>
      </c>
      <c r="T47">
        <v>47</v>
      </c>
      <c r="U47">
        <v>48</v>
      </c>
      <c r="V47" s="26">
        <v>57</v>
      </c>
    </row>
    <row r="48" spans="1:22">
      <c r="A48" s="27">
        <v>0.75</v>
      </c>
      <c r="B48" s="8">
        <f t="shared" si="6"/>
        <v>31.03448275862069</v>
      </c>
      <c r="C48" s="8">
        <f t="shared" si="0"/>
        <v>37.162162162162161</v>
      </c>
      <c r="D48" s="8">
        <f t="shared" si="1"/>
        <v>42.758620689655174</v>
      </c>
      <c r="E48" s="8">
        <f t="shared" si="2"/>
        <v>47.058823529411754</v>
      </c>
      <c r="F48" s="8">
        <f t="shared" si="3"/>
        <v>60.8</v>
      </c>
      <c r="G48" s="8">
        <f t="shared" si="4"/>
        <v>60.629921259842519</v>
      </c>
      <c r="H48" s="22">
        <f t="shared" si="5"/>
        <v>52.592592592592588</v>
      </c>
      <c r="I48" s="8">
        <f>B48*'Market Driver Data'!B22</f>
        <v>45</v>
      </c>
      <c r="J48" s="8">
        <f>C48*'Market Driver Data'!C22</f>
        <v>54.628378378378379</v>
      </c>
      <c r="K48" s="8">
        <f>D48*'Market Driver Data'!D22</f>
        <v>61.144827586206894</v>
      </c>
      <c r="L48" s="8">
        <f>E48*'Market Driver Data'!E22</f>
        <v>65.411764705882334</v>
      </c>
      <c r="M48" s="8">
        <f>F48*'Market Driver Data'!F22</f>
        <v>76.60799999999999</v>
      </c>
      <c r="N48" s="8">
        <f>G48*'Market Driver Data'!G22</f>
        <v>77</v>
      </c>
      <c r="O48" s="22">
        <f>H48*'Market Driver Data'!H22</f>
        <v>71</v>
      </c>
      <c r="P48">
        <v>45</v>
      </c>
      <c r="Q48">
        <v>46</v>
      </c>
      <c r="R48">
        <v>49</v>
      </c>
      <c r="S48">
        <v>55</v>
      </c>
      <c r="T48">
        <v>66</v>
      </c>
      <c r="U48">
        <v>66</v>
      </c>
      <c r="V48" s="26">
        <v>65</v>
      </c>
    </row>
    <row r="49" spans="1:22">
      <c r="A49" s="27">
        <v>0.77083333333333404</v>
      </c>
      <c r="B49" s="8">
        <f t="shared" si="6"/>
        <v>37.931034482758619</v>
      </c>
      <c r="C49" s="8">
        <f t="shared" si="0"/>
        <v>37.162162162162161</v>
      </c>
      <c r="D49" s="8">
        <f t="shared" si="1"/>
        <v>42.758620689655174</v>
      </c>
      <c r="E49" s="8">
        <f t="shared" si="2"/>
        <v>47.058823529411754</v>
      </c>
      <c r="F49" s="8">
        <f t="shared" si="3"/>
        <v>60.8</v>
      </c>
      <c r="G49" s="8">
        <f t="shared" si="4"/>
        <v>60.629921259842519</v>
      </c>
      <c r="H49" s="22">
        <f t="shared" si="5"/>
        <v>52.592592592592588</v>
      </c>
      <c r="I49" s="8">
        <f>B49*'Market Driver Data'!B23</f>
        <v>55.37931034482758</v>
      </c>
      <c r="J49" s="8">
        <f>C49*'Market Driver Data'!C23</f>
        <v>54.256756756756751</v>
      </c>
      <c r="K49" s="8">
        <f>D49*'Market Driver Data'!D23</f>
        <v>62</v>
      </c>
      <c r="L49" s="8">
        <f>E49*'Market Driver Data'!E23</f>
        <v>63.999999999999993</v>
      </c>
      <c r="M49" s="8">
        <f>F49*'Market Driver Data'!F23</f>
        <v>74.176000000000002</v>
      </c>
      <c r="N49" s="8">
        <f>G49*'Market Driver Data'!G23</f>
        <v>77</v>
      </c>
      <c r="O49" s="22">
        <f>H49*'Market Driver Data'!H23</f>
        <v>71</v>
      </c>
      <c r="P49">
        <v>55</v>
      </c>
      <c r="Q49">
        <v>54</v>
      </c>
      <c r="R49">
        <v>62</v>
      </c>
      <c r="S49">
        <v>64</v>
      </c>
      <c r="T49">
        <v>70</v>
      </c>
      <c r="U49">
        <v>77</v>
      </c>
      <c r="V49" s="26">
        <v>71</v>
      </c>
    </row>
    <row r="50" spans="1:22">
      <c r="A50" s="27">
        <v>0.79166666666666696</v>
      </c>
      <c r="B50" s="8">
        <f t="shared" si="6"/>
        <v>37.931034482758619</v>
      </c>
      <c r="C50" s="8">
        <f t="shared" si="0"/>
        <v>37.162162162162161</v>
      </c>
      <c r="D50" s="8">
        <f t="shared" si="1"/>
        <v>42.758620689655174</v>
      </c>
      <c r="E50" s="8">
        <f t="shared" si="2"/>
        <v>47.058823529411754</v>
      </c>
      <c r="F50" s="8">
        <f t="shared" si="3"/>
        <v>60.8</v>
      </c>
      <c r="G50" s="8">
        <f t="shared" si="4"/>
        <v>60.629921259842519</v>
      </c>
      <c r="H50" s="22">
        <f t="shared" si="5"/>
        <v>52.592592592592588</v>
      </c>
      <c r="I50" s="8">
        <f>B50*'Market Driver Data'!B24</f>
        <v>55.37931034482758</v>
      </c>
      <c r="J50" s="8">
        <f>C50*'Market Driver Data'!C24</f>
        <v>55</v>
      </c>
      <c r="K50" s="8">
        <f>D50*'Market Driver Data'!D24</f>
        <v>61.144827586206894</v>
      </c>
      <c r="L50" s="8">
        <f>E50*'Market Driver Data'!E24</f>
        <v>66.352941176470566</v>
      </c>
      <c r="M50" s="8">
        <f>F50*'Market Driver Data'!F24</f>
        <v>76</v>
      </c>
      <c r="N50" s="8">
        <f>G50*'Market Driver Data'!G24</f>
        <v>80.637795275590548</v>
      </c>
      <c r="O50" s="22">
        <f>H50*'Market Driver Data'!H24</f>
        <v>72.05185185185185</v>
      </c>
      <c r="P50">
        <v>50</v>
      </c>
      <c r="Q50">
        <v>55</v>
      </c>
      <c r="R50">
        <v>57</v>
      </c>
      <c r="S50">
        <v>61</v>
      </c>
      <c r="T50">
        <v>76</v>
      </c>
      <c r="U50">
        <v>68</v>
      </c>
      <c r="V50" s="26">
        <v>69</v>
      </c>
    </row>
    <row r="51" spans="1:22">
      <c r="A51" s="27">
        <v>0.812500000000001</v>
      </c>
      <c r="B51" s="8">
        <f t="shared" si="6"/>
        <v>37.931034482758619</v>
      </c>
      <c r="C51" s="8">
        <f t="shared" si="0"/>
        <v>37.162162162162161</v>
      </c>
      <c r="D51" s="8">
        <f t="shared" si="1"/>
        <v>42.758620689655174</v>
      </c>
      <c r="E51" s="8">
        <f t="shared" si="2"/>
        <v>47.058823529411754</v>
      </c>
      <c r="F51" s="8">
        <f t="shared" si="3"/>
        <v>60.8</v>
      </c>
      <c r="G51" s="8">
        <f t="shared" si="4"/>
        <v>60.629921259842519</v>
      </c>
      <c r="H51" s="22">
        <f t="shared" si="5"/>
        <v>52.592592592592588</v>
      </c>
      <c r="I51" s="8">
        <f>B51*'Market Driver Data'!B25</f>
        <v>56.517241379310342</v>
      </c>
      <c r="J51" s="8">
        <f>C51*'Market Driver Data'!C25</f>
        <v>56.486486486486484</v>
      </c>
      <c r="K51" s="8">
        <f>D51*'Market Driver Data'!D25</f>
        <v>62.855172413793106</v>
      </c>
      <c r="L51" s="8">
        <f>E51*'Market Driver Data'!E25</f>
        <v>67.294117647058812</v>
      </c>
      <c r="M51" s="8">
        <f>F51*'Market Driver Data'!F25</f>
        <v>76.60799999999999</v>
      </c>
      <c r="N51" s="8">
        <f>G51*'Market Driver Data'!G25</f>
        <v>80.637795275590548</v>
      </c>
      <c r="O51" s="22">
        <f>H51*'Market Driver Data'!H25</f>
        <v>72.577777777777769</v>
      </c>
      <c r="P51">
        <v>50</v>
      </c>
      <c r="Q51">
        <v>50</v>
      </c>
      <c r="R51">
        <v>57</v>
      </c>
      <c r="S51">
        <v>62</v>
      </c>
      <c r="T51">
        <v>72</v>
      </c>
      <c r="U51">
        <v>68</v>
      </c>
      <c r="V51" s="26">
        <v>72</v>
      </c>
    </row>
    <row r="52" spans="1:22">
      <c r="A52" s="27">
        <v>0.83333333333333404</v>
      </c>
      <c r="B52" s="8">
        <f t="shared" si="6"/>
        <v>37.931034482758619</v>
      </c>
      <c r="C52" s="8">
        <f t="shared" si="0"/>
        <v>37.162162162162161</v>
      </c>
      <c r="D52" s="8">
        <f t="shared" si="1"/>
        <v>42.758620689655174</v>
      </c>
      <c r="E52" s="8">
        <f t="shared" si="2"/>
        <v>47.058823529411754</v>
      </c>
      <c r="F52" s="8">
        <f t="shared" si="3"/>
        <v>60.8</v>
      </c>
      <c r="G52" s="8">
        <f t="shared" si="4"/>
        <v>60.629921259842519</v>
      </c>
      <c r="H52" s="22">
        <f t="shared" si="5"/>
        <v>52.592592592592588</v>
      </c>
      <c r="I52" s="8">
        <f>B52*'Market Driver Data'!B26</f>
        <v>59.551724137931032</v>
      </c>
      <c r="J52" s="8">
        <f>C52*'Market Driver Data'!C26</f>
        <v>57.229729729729733</v>
      </c>
      <c r="K52" s="8">
        <f>D52*'Market Driver Data'!D26</f>
        <v>65.420689655172424</v>
      </c>
      <c r="L52" s="8">
        <f>E52*'Market Driver Data'!E26</f>
        <v>69.647058823529392</v>
      </c>
      <c r="M52" s="8">
        <f>F52*'Market Driver Data'!F26</f>
        <v>81.471999999999994</v>
      </c>
      <c r="N52" s="8">
        <f>G52*'Market Driver Data'!G26</f>
        <v>85.488188976377941</v>
      </c>
      <c r="O52" s="22">
        <f>H52*'Market Driver Data'!H26</f>
        <v>74.155555555555551</v>
      </c>
      <c r="P52">
        <v>50</v>
      </c>
      <c r="Q52">
        <v>51</v>
      </c>
      <c r="R52">
        <v>54</v>
      </c>
      <c r="S52">
        <v>63</v>
      </c>
      <c r="T52">
        <v>67</v>
      </c>
      <c r="U52">
        <v>66</v>
      </c>
      <c r="V52" s="26">
        <v>67</v>
      </c>
    </row>
    <row r="53" spans="1:22">
      <c r="A53" s="27">
        <v>0.85416666666666696</v>
      </c>
      <c r="B53" s="8">
        <f t="shared" si="6"/>
        <v>37.931034482758619</v>
      </c>
      <c r="C53" s="8">
        <f t="shared" si="0"/>
        <v>37.162162162162161</v>
      </c>
      <c r="D53" s="8">
        <f t="shared" si="1"/>
        <v>42.758620689655174</v>
      </c>
      <c r="E53" s="8">
        <f t="shared" si="2"/>
        <v>47.058823529411754</v>
      </c>
      <c r="F53" s="8">
        <f t="shared" si="3"/>
        <v>60.8</v>
      </c>
      <c r="G53" s="8">
        <f t="shared" si="4"/>
        <v>60.629921259842519</v>
      </c>
      <c r="H53" s="22">
        <f t="shared" si="5"/>
        <v>52.592592592592588</v>
      </c>
      <c r="I53" s="8">
        <f>B53*'Market Driver Data'!B27</f>
        <v>59.931034482758619</v>
      </c>
      <c r="J53" s="8">
        <f>C53*'Market Driver Data'!C27</f>
        <v>58.344594594594597</v>
      </c>
      <c r="K53" s="8">
        <f>D53*'Market Driver Data'!D27</f>
        <v>66.703448275862073</v>
      </c>
      <c r="L53" s="8">
        <f>E53*'Market Driver Data'!E27</f>
        <v>71.058823529411754</v>
      </c>
      <c r="M53" s="8">
        <f>F53*'Market Driver Data'!F27</f>
        <v>83.296000000000006</v>
      </c>
      <c r="N53" s="8">
        <f>G53*'Market Driver Data'!G27</f>
        <v>86.7007874015748</v>
      </c>
      <c r="O53" s="22">
        <f>H53*'Market Driver Data'!H27</f>
        <v>78.888888888888886</v>
      </c>
      <c r="P53">
        <v>49</v>
      </c>
      <c r="Q53">
        <v>48</v>
      </c>
      <c r="R53">
        <v>47</v>
      </c>
      <c r="S53">
        <v>54</v>
      </c>
      <c r="T53">
        <v>73</v>
      </c>
      <c r="U53">
        <v>59</v>
      </c>
      <c r="V53" s="26">
        <v>63</v>
      </c>
    </row>
    <row r="54" spans="1:22">
      <c r="A54" s="27">
        <v>0.875000000000001</v>
      </c>
      <c r="B54" s="8">
        <f t="shared" si="6"/>
        <v>37.931034482758619</v>
      </c>
      <c r="C54" s="8">
        <f t="shared" si="0"/>
        <v>37.162162162162161</v>
      </c>
      <c r="D54" s="8">
        <f t="shared" si="1"/>
        <v>42.758620689655174</v>
      </c>
      <c r="E54" s="8">
        <f t="shared" si="2"/>
        <v>47.058823529411754</v>
      </c>
      <c r="F54" s="8">
        <f t="shared" si="3"/>
        <v>60.8</v>
      </c>
      <c r="G54" s="8">
        <f t="shared" si="4"/>
        <v>60.629921259842519</v>
      </c>
      <c r="H54" s="22">
        <f t="shared" si="5"/>
        <v>52.592592592592588</v>
      </c>
      <c r="I54" s="8">
        <f>B54*'Market Driver Data'!B28</f>
        <v>59.172413793103445</v>
      </c>
      <c r="J54" s="8">
        <f>C54*'Market Driver Data'!C28</f>
        <v>61.689189189189186</v>
      </c>
      <c r="K54" s="8">
        <f>D54*'Market Driver Data'!D28</f>
        <v>71.406896551724145</v>
      </c>
      <c r="L54" s="8">
        <f>E54*'Market Driver Data'!E28</f>
        <v>73.88235294117645</v>
      </c>
      <c r="M54" s="8">
        <f>F54*'Market Driver Data'!F28</f>
        <v>86.943999999999988</v>
      </c>
      <c r="N54" s="8">
        <f>G54*'Market Driver Data'!G28</f>
        <v>89.125984251968504</v>
      </c>
      <c r="O54" s="22">
        <f>H54*'Market Driver Data'!H28</f>
        <v>80.466666666666654</v>
      </c>
      <c r="P54">
        <v>41</v>
      </c>
      <c r="Q54">
        <v>43</v>
      </c>
      <c r="R54">
        <v>38</v>
      </c>
      <c r="S54">
        <v>48</v>
      </c>
      <c r="T54">
        <v>55</v>
      </c>
      <c r="U54">
        <v>55</v>
      </c>
      <c r="V54" s="26">
        <v>53</v>
      </c>
    </row>
    <row r="55" spans="1:22">
      <c r="A55" s="27">
        <v>0.89583333333333404</v>
      </c>
      <c r="B55" s="8">
        <f t="shared" si="6"/>
        <v>22.390493942218079</v>
      </c>
      <c r="C55" s="8">
        <f t="shared" si="0"/>
        <v>37.162162162162161</v>
      </c>
      <c r="D55" s="8">
        <f t="shared" si="1"/>
        <v>19.76047904191617</v>
      </c>
      <c r="E55" s="8">
        <f t="shared" si="2"/>
        <v>22.222222222222221</v>
      </c>
      <c r="F55" s="8">
        <f t="shared" si="3"/>
        <v>30.872483221476511</v>
      </c>
      <c r="G55" s="8">
        <f t="shared" si="4"/>
        <v>26.623376623376622</v>
      </c>
      <c r="H55" s="22">
        <f t="shared" si="5"/>
        <v>25.641025641025642</v>
      </c>
      <c r="I55" s="8">
        <f>B55*'Market Driver Data'!B29</f>
        <v>35.376980428704563</v>
      </c>
      <c r="J55" s="8">
        <f>C55*'Market Driver Data'!C29</f>
        <v>62.060810810810807</v>
      </c>
      <c r="K55" s="8">
        <f>D55*'Market Driver Data'!D29</f>
        <v>33</v>
      </c>
      <c r="L55" s="8">
        <f>E55*'Market Driver Data'!E29</f>
        <v>36</v>
      </c>
      <c r="M55" s="8">
        <f>F55*'Market Driver Data'!F29</f>
        <v>46</v>
      </c>
      <c r="N55" s="8">
        <f>G55*'Market Driver Data'!G29</f>
        <v>41</v>
      </c>
      <c r="O55" s="22">
        <f>H55*'Market Driver Data'!H29</f>
        <v>40</v>
      </c>
      <c r="P55">
        <v>29</v>
      </c>
      <c r="Q55">
        <v>28</v>
      </c>
      <c r="R55">
        <v>33</v>
      </c>
      <c r="S55">
        <v>36</v>
      </c>
      <c r="T55">
        <v>46</v>
      </c>
      <c r="U55">
        <v>41</v>
      </c>
      <c r="V55" s="26">
        <v>40</v>
      </c>
    </row>
    <row r="56" spans="1:22">
      <c r="A56" s="27">
        <v>0.91666666666666696</v>
      </c>
      <c r="B56" s="8">
        <f t="shared" si="6"/>
        <v>17.405549891850928</v>
      </c>
      <c r="C56" s="8">
        <f t="shared" si="0"/>
        <v>37.162162162162161</v>
      </c>
      <c r="D56" s="8">
        <f t="shared" si="1"/>
        <v>19.76047904191617</v>
      </c>
      <c r="E56" s="8">
        <f t="shared" si="2"/>
        <v>22.222222222222221</v>
      </c>
      <c r="F56" s="8">
        <f t="shared" si="3"/>
        <v>30.872483221476511</v>
      </c>
      <c r="G56" s="8">
        <f t="shared" si="4"/>
        <v>26.623376623376622</v>
      </c>
      <c r="H56" s="22">
        <f t="shared" si="5"/>
        <v>25.641025641025642</v>
      </c>
      <c r="I56" s="8">
        <f>B56*'Market Driver Data'!B30</f>
        <v>28.022935325879995</v>
      </c>
      <c r="J56" s="8">
        <f>C56*'Market Driver Data'!C30</f>
        <v>57.972972972972975</v>
      </c>
      <c r="K56" s="8">
        <f>D56*'Market Driver Data'!D30</f>
        <v>31.616766467065872</v>
      </c>
      <c r="L56" s="8">
        <f>E56*'Market Driver Data'!E30</f>
        <v>34.666666666666664</v>
      </c>
      <c r="M56" s="8">
        <f>F56*'Market Driver Data'!F30</f>
        <v>47.852348993288594</v>
      </c>
      <c r="N56" s="8">
        <f>G56*'Market Driver Data'!G30</f>
        <v>41.532467532467528</v>
      </c>
      <c r="O56" s="22">
        <f>H56*'Market Driver Data'!H30</f>
        <v>40.512820512820518</v>
      </c>
      <c r="P56">
        <v>16</v>
      </c>
      <c r="Q56">
        <v>14</v>
      </c>
      <c r="R56">
        <v>15</v>
      </c>
      <c r="S56">
        <v>21</v>
      </c>
      <c r="T56">
        <v>23</v>
      </c>
      <c r="U56">
        <v>33</v>
      </c>
      <c r="V56" s="26">
        <v>13</v>
      </c>
    </row>
    <row r="57" spans="1:22">
      <c r="A57" s="27">
        <v>0.937500000000001</v>
      </c>
      <c r="B57" s="8">
        <f t="shared" si="6"/>
        <v>12.235768481965675</v>
      </c>
      <c r="C57" s="8">
        <f t="shared" si="0"/>
        <v>37.162162162162161</v>
      </c>
      <c r="D57" s="8">
        <f t="shared" si="1"/>
        <v>19.76047904191617</v>
      </c>
      <c r="E57" s="8">
        <f t="shared" si="2"/>
        <v>22.222222222222221</v>
      </c>
      <c r="F57" s="8">
        <f t="shared" si="3"/>
        <v>30.872483221476511</v>
      </c>
      <c r="G57" s="8">
        <f t="shared" si="4"/>
        <v>26.623376623376622</v>
      </c>
      <c r="H57" s="22">
        <f t="shared" si="5"/>
        <v>25.641025641025642</v>
      </c>
      <c r="I57" s="8">
        <f>B57*'Market Driver Data'!B31</f>
        <v>19.454871886325424</v>
      </c>
      <c r="J57" s="8">
        <f>C57*'Market Driver Data'!C31</f>
        <v>63.918918918918919</v>
      </c>
      <c r="K57" s="8">
        <f>D57*'Market Driver Data'!D31</f>
        <v>34.383233532934135</v>
      </c>
      <c r="L57" s="8">
        <f>E57*'Market Driver Data'!E31</f>
        <v>38.444444444444443</v>
      </c>
      <c r="M57" s="8">
        <f>F57*'Market Driver Data'!F31</f>
        <v>48.469798657718123</v>
      </c>
      <c r="N57" s="8">
        <f>G57*'Market Driver Data'!G31</f>
        <v>43.129870129870127</v>
      </c>
      <c r="O57" s="22">
        <f>H57*'Market Driver Data'!H31</f>
        <v>43.07692307692308</v>
      </c>
      <c r="P57">
        <v>12</v>
      </c>
      <c r="Q57">
        <v>16</v>
      </c>
      <c r="R57">
        <v>11</v>
      </c>
      <c r="S57">
        <v>15</v>
      </c>
      <c r="T57">
        <v>24</v>
      </c>
      <c r="U57">
        <v>19</v>
      </c>
      <c r="V57" s="26">
        <v>12</v>
      </c>
    </row>
    <row r="58" spans="1:22">
      <c r="A58" s="27">
        <v>0.95833333333333404</v>
      </c>
      <c r="B58" s="8">
        <f t="shared" si="6"/>
        <v>6.8965517241379315</v>
      </c>
      <c r="C58" s="8">
        <f t="shared" si="0"/>
        <v>12.50462791558682</v>
      </c>
      <c r="D58" s="8">
        <f t="shared" si="1"/>
        <v>15.361360415682576</v>
      </c>
      <c r="E58" s="8">
        <f t="shared" si="2"/>
        <v>15.63025210084033</v>
      </c>
      <c r="F58" s="8">
        <f t="shared" si="3"/>
        <v>24.365891472868221</v>
      </c>
      <c r="G58" s="8">
        <f t="shared" si="4"/>
        <v>24.266284896206155</v>
      </c>
      <c r="H58" s="22">
        <f t="shared" si="5"/>
        <v>10.370370370370374</v>
      </c>
      <c r="I58" s="8">
        <f>B58*'Market Driver Data'!B32</f>
        <v>10</v>
      </c>
      <c r="J58" s="8">
        <f>C58*'Market Driver Data'!C32</f>
        <v>18.256756756756758</v>
      </c>
      <c r="K58" s="8">
        <f>D58*'Market Driver Data'!D32</f>
        <v>22.734813415210212</v>
      </c>
      <c r="L58" s="8">
        <f>E58*'Market Driver Data'!E32</f>
        <v>21.257142857142849</v>
      </c>
      <c r="M58" s="8">
        <f>F58*'Market Driver Data'!F32</f>
        <v>39.96006201550388</v>
      </c>
      <c r="N58" s="8">
        <f>G58*'Market Driver Data'!G32</f>
        <v>40.524695776664281</v>
      </c>
      <c r="O58" s="22">
        <f>H58*'Market Driver Data'!H32</f>
        <v>12.859259259259263</v>
      </c>
      <c r="P58">
        <v>10</v>
      </c>
      <c r="Q58">
        <v>8</v>
      </c>
      <c r="R58">
        <v>9</v>
      </c>
      <c r="S58">
        <v>11</v>
      </c>
      <c r="T58">
        <v>14</v>
      </c>
      <c r="U58">
        <v>14</v>
      </c>
      <c r="V58" s="26">
        <v>5</v>
      </c>
    </row>
    <row r="59" spans="1:22">
      <c r="A59" s="27">
        <v>0.97916666666666696</v>
      </c>
      <c r="B59" s="8">
        <f t="shared" si="6"/>
        <v>0</v>
      </c>
      <c r="C59" s="8">
        <f t="shared" si="0"/>
        <v>0</v>
      </c>
      <c r="D59" s="8">
        <f t="shared" si="1"/>
        <v>0</v>
      </c>
      <c r="E59" s="8">
        <f t="shared" si="2"/>
        <v>0</v>
      </c>
      <c r="F59" s="8">
        <f t="shared" si="3"/>
        <v>0</v>
      </c>
      <c r="G59" s="8">
        <f t="shared" si="4"/>
        <v>0</v>
      </c>
      <c r="H59" s="22">
        <f t="shared" si="5"/>
        <v>0</v>
      </c>
      <c r="I59" s="8">
        <f>B59*'Market Driver Data'!B33</f>
        <v>0</v>
      </c>
      <c r="J59" s="8">
        <f>C59*'Market Driver Data'!C33</f>
        <v>0</v>
      </c>
      <c r="K59" s="8">
        <f>D59*'Market Driver Data'!D33</f>
        <v>0</v>
      </c>
      <c r="L59" s="8">
        <f>E59*'Market Driver Data'!E33</f>
        <v>0</v>
      </c>
      <c r="M59" s="8">
        <f>F59*'Market Driver Data'!F33</f>
        <v>0</v>
      </c>
      <c r="N59" s="8">
        <f>G59*'Market Driver Data'!G33</f>
        <v>0</v>
      </c>
      <c r="O59" s="22">
        <f>H59*'Market Driver Data'!H33</f>
        <v>0</v>
      </c>
      <c r="P59">
        <v>1</v>
      </c>
      <c r="Q59">
        <v>0</v>
      </c>
      <c r="R59">
        <v>1</v>
      </c>
      <c r="S59">
        <v>0</v>
      </c>
      <c r="T59">
        <v>9</v>
      </c>
      <c r="U59">
        <v>8</v>
      </c>
      <c r="V59" s="26">
        <v>0</v>
      </c>
    </row>
    <row r="61" spans="1:22">
      <c r="C61" s="8"/>
      <c r="F61" s="8"/>
    </row>
  </sheetData>
  <mergeCells count="10">
    <mergeCell ref="Y1:AB1"/>
    <mergeCell ref="B26:H26"/>
    <mergeCell ref="I26:O26"/>
    <mergeCell ref="P26:V26"/>
    <mergeCell ref="A1:D1"/>
    <mergeCell ref="E1:H1"/>
    <mergeCell ref="I1:L1"/>
    <mergeCell ref="M1:P1"/>
    <mergeCell ref="Q1:T1"/>
    <mergeCell ref="U1:X1"/>
  </mergeCells>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Module1.Monday">
                <anchor moveWithCells="1" sizeWithCells="1">
                  <from>
                    <xdr:col>0</xdr:col>
                    <xdr:colOff>25400</xdr:colOff>
                    <xdr:row>13</xdr:row>
                    <xdr:rowOff>12700</xdr:rowOff>
                  </from>
                  <to>
                    <xdr:col>1</xdr:col>
                    <xdr:colOff>533400</xdr:colOff>
                    <xdr:row>14</xdr:row>
                    <xdr:rowOff>177800</xdr:rowOff>
                  </to>
                </anchor>
              </controlPr>
            </control>
          </mc:Choice>
        </mc:AlternateContent>
        <mc:AlternateContent xmlns:mc="http://schemas.openxmlformats.org/markup-compatibility/2006">
          <mc:Choice Requires="x14">
            <control shapeId="9218" r:id="rId4" name="Button 2">
              <controlPr defaultSize="0" print="0" autoFill="0" autoPict="0" macro="[0]!Tuesday">
                <anchor moveWithCells="1" sizeWithCells="1">
                  <from>
                    <xdr:col>4</xdr:col>
                    <xdr:colOff>0</xdr:colOff>
                    <xdr:row>13</xdr:row>
                    <xdr:rowOff>12700</xdr:rowOff>
                  </from>
                  <to>
                    <xdr:col>5</xdr:col>
                    <xdr:colOff>520700</xdr:colOff>
                    <xdr:row>14</xdr:row>
                    <xdr:rowOff>177800</xdr:rowOff>
                  </to>
                </anchor>
              </controlPr>
            </control>
          </mc:Choice>
        </mc:AlternateContent>
        <mc:AlternateContent xmlns:mc="http://schemas.openxmlformats.org/markup-compatibility/2006">
          <mc:Choice Requires="x14">
            <control shapeId="9219" r:id="rId5" name="Button 3">
              <controlPr defaultSize="0" print="0" autoFill="0" autoPict="0" macro="[0]!Wednesday">
                <anchor moveWithCells="1" sizeWithCells="1">
                  <from>
                    <xdr:col>8</xdr:col>
                    <xdr:colOff>12700</xdr:colOff>
                    <xdr:row>13</xdr:row>
                    <xdr:rowOff>12700</xdr:rowOff>
                  </from>
                  <to>
                    <xdr:col>9</xdr:col>
                    <xdr:colOff>469900</xdr:colOff>
                    <xdr:row>14</xdr:row>
                    <xdr:rowOff>177800</xdr:rowOff>
                  </to>
                </anchor>
              </controlPr>
            </control>
          </mc:Choice>
        </mc:AlternateContent>
        <mc:AlternateContent xmlns:mc="http://schemas.openxmlformats.org/markup-compatibility/2006">
          <mc:Choice Requires="x14">
            <control shapeId="9220" r:id="rId6" name="Button 4">
              <controlPr defaultSize="0" print="0" autoFill="0" autoPict="0" macro="[0]!Thursday">
                <anchor moveWithCells="1" sizeWithCells="1">
                  <from>
                    <xdr:col>11</xdr:col>
                    <xdr:colOff>698500</xdr:colOff>
                    <xdr:row>13</xdr:row>
                    <xdr:rowOff>25400</xdr:rowOff>
                  </from>
                  <to>
                    <xdr:col>13</xdr:col>
                    <xdr:colOff>495300</xdr:colOff>
                    <xdr:row>14</xdr:row>
                    <xdr:rowOff>190500</xdr:rowOff>
                  </to>
                </anchor>
              </controlPr>
            </control>
          </mc:Choice>
        </mc:AlternateContent>
        <mc:AlternateContent xmlns:mc="http://schemas.openxmlformats.org/markup-compatibility/2006">
          <mc:Choice Requires="x14">
            <control shapeId="9221" r:id="rId7" name="Button 5">
              <controlPr defaultSize="0" print="0" autoFill="0" autoPict="0" macro="[0]!Friday">
                <anchor moveWithCells="1" sizeWithCells="1">
                  <from>
                    <xdr:col>16</xdr:col>
                    <xdr:colOff>0</xdr:colOff>
                    <xdr:row>13</xdr:row>
                    <xdr:rowOff>25400</xdr:rowOff>
                  </from>
                  <to>
                    <xdr:col>17</xdr:col>
                    <xdr:colOff>520700</xdr:colOff>
                    <xdr:row>14</xdr:row>
                    <xdr:rowOff>190500</xdr:rowOff>
                  </to>
                </anchor>
              </controlPr>
            </control>
          </mc:Choice>
        </mc:AlternateContent>
        <mc:AlternateContent xmlns:mc="http://schemas.openxmlformats.org/markup-compatibility/2006">
          <mc:Choice Requires="x14">
            <control shapeId="9222" r:id="rId8" name="Button 6">
              <controlPr defaultSize="0" print="0" autoFill="0" autoPict="0" macro="[0]!Saturday" altText="Schedule Saturday">
                <anchor moveWithCells="1" sizeWithCells="1">
                  <from>
                    <xdr:col>20</xdr:col>
                    <xdr:colOff>0</xdr:colOff>
                    <xdr:row>13</xdr:row>
                    <xdr:rowOff>25400</xdr:rowOff>
                  </from>
                  <to>
                    <xdr:col>21</xdr:col>
                    <xdr:colOff>457200</xdr:colOff>
                    <xdr:row>14</xdr:row>
                    <xdr:rowOff>190500</xdr:rowOff>
                  </to>
                </anchor>
              </controlPr>
            </control>
          </mc:Choice>
        </mc:AlternateContent>
        <mc:AlternateContent xmlns:mc="http://schemas.openxmlformats.org/markup-compatibility/2006">
          <mc:Choice Requires="x14">
            <control shapeId="9223" r:id="rId9" name="Button 7">
              <controlPr defaultSize="0" print="0" autoFill="0" autoPict="0" macro="[0]!Sunday">
                <anchor moveWithCells="1" sizeWithCells="1">
                  <from>
                    <xdr:col>24</xdr:col>
                    <xdr:colOff>12700</xdr:colOff>
                    <xdr:row>13</xdr:row>
                    <xdr:rowOff>38100</xdr:rowOff>
                  </from>
                  <to>
                    <xdr:col>25</xdr:col>
                    <xdr:colOff>228600</xdr:colOff>
                    <xdr:row>14</xdr:row>
                    <xdr:rowOff>203200</xdr:rowOff>
                  </to>
                </anchor>
              </controlPr>
            </control>
          </mc:Choice>
        </mc:AlternateContent>
      </controls>
    </mc:Choice>
  </mc:AlternateContent>
  <tableParts count="1">
    <tablePart r:id="rId10"/>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Information</vt:lpstr>
      <vt:lpstr>Market Order Volume</vt:lpstr>
      <vt:lpstr>Market Driver Data</vt:lpstr>
      <vt:lpstr>Sensitivity Report 1</vt:lpstr>
      <vt:lpstr>Schedule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Price</dc:creator>
  <cp:lastModifiedBy>Microsoft Office User</cp:lastModifiedBy>
  <dcterms:created xsi:type="dcterms:W3CDTF">2019-05-18T00:20:14Z</dcterms:created>
  <dcterms:modified xsi:type="dcterms:W3CDTF">2019-11-12T00:11:41Z</dcterms:modified>
</cp:coreProperties>
</file>